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Companies" sheetId="3" state="visible" r:id="rId3"/>
    <sheet name="Signing Log" sheetId="4" state="visible" r:id="rId4"/>
    <sheet name="Mileage Log" sheetId="5" state="visible" r:id="rId5"/>
    <sheet name="Expenses" sheetId="6" state="visible" r:id="rId6"/>
    <sheet name="Invoice" sheetId="7" state="visible" r:id="rId7"/>
    <sheet name="Tax 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0"/>
    <numFmt numFmtId="165" formatCode="&quot;$&quot;#,##0.00"/>
    <numFmt numFmtId="166" formatCode="yyyy-mm-dd"/>
    <numFmt numFmtId="167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3"/>
    </font>
    <font>
      <name val="Calibri"/>
      <b val="1"/>
      <color rgb="001F2A44"/>
      <sz val="11"/>
    </font>
    <font>
      <b val="1"/>
      <color rgb="001F2A44"/>
    </font>
    <font>
      <name val="Calibri"/>
      <i val="1"/>
      <color rgb="00566173"/>
      <sz val="10"/>
    </font>
    <font>
      <name val="Calibri"/>
      <b val="1"/>
      <color rgb="00FFFFFF"/>
      <sz val="11"/>
    </font>
    <font>
      <name val="Calibri"/>
      <b val="1"/>
      <color rgb="001F2A44"/>
      <sz val="22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F7A8C"/>
      </patternFill>
    </fill>
    <fill>
      <patternFill patternType="solid">
        <fgColor rgb="00E0A458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7D0DA"/>
      </left>
      <right style="thin">
        <color rgb="00C7D0DA"/>
      </right>
      <top style="thin">
        <color rgb="00C7D0DA"/>
      </top>
      <bottom style="thin">
        <color rgb="00C7D0D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165" fontId="0" fillId="0" borderId="1" pivotButton="0" quotePrefix="0" xfId="0"/>
    <xf numFmtId="165" fontId="7" fillId="0" borderId="0" pivotButton="0" quotePrefix="0" xfId="0"/>
    <xf numFmtId="165" fontId="3" fillId="0" borderId="0" pivotButton="0" quotePrefix="0" xfId="0"/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0" fillId="4" borderId="0" pivotButton="0" quotePrefix="0" xfId="0"/>
    <xf numFmtId="9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3CD"/>
        </patternFill>
      </fill>
    </dxf>
    <dxf>
      <fill>
        <patternFill patternType="solid">
          <fgColor rgb="00D7F0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appt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'Dashboard'!B16</f>
            </strRef>
          </tx>
          <spPr>
            <a:ln>
              <a:prstDash val="solid"/>
            </a:ln>
          </spPr>
          <cat>
            <numRef>
              <f>'Dashboard'!$A$17:$A$23</f>
            </numRef>
          </cat>
          <val>
            <numRef>
              <f>'Dashboard'!$B$17:$B$23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Paid vs outstanding</a:t>
            </a:r>
          </a:p>
        </rich>
      </tx>
    </title>
    <plotArea>
      <pieChart>
        <varyColors val="1"/>
        <ser>
          <idx val="0"/>
          <order val="0"/>
          <tx>
            <strRef>
              <f>'Dashboard'!B27</f>
            </strRef>
          </tx>
          <spPr>
            <a:ln>
              <a:prstDash val="solid"/>
            </a:ln>
          </spPr>
          <cat>
            <numRef>
              <f>'Dashboard'!$A$28:$A$29</f>
            </numRef>
          </cat>
          <val>
            <numRef>
              <f>'Dashboard'!$B$28:$B$29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25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8" customHeight="1">
      <c r="A1" s="1" t="inlineStr">
        <is>
          <t>✅  Signing Agent HQ</t>
        </is>
      </c>
    </row>
    <row r="2" ht="22" customHeight="1">
      <c r="A2" s="2" t="inlineStr">
        <is>
          <t>The complete notary business &amp; tax system — start here.</t>
        </is>
      </c>
    </row>
    <row r="4" ht="22" customHeight="1">
      <c r="A4" s="3" t="inlineStr">
        <is>
          <t>1.</t>
        </is>
      </c>
      <c r="B4" s="4" t="inlineStr">
        <is>
          <t>In Google Sheets: File → Make a copy. In Excel: just save your own copy.</t>
        </is>
      </c>
    </row>
    <row r="5" ht="22" customHeight="1">
      <c r="A5" s="3" t="inlineStr">
        <is>
          <t>2.</t>
        </is>
      </c>
      <c r="B5" s="4" t="inlineStr">
        <is>
          <t>Open the Settings tab and enter this year's IRS standard mileage rate.</t>
        </is>
      </c>
    </row>
    <row r="6" ht="22" customHeight="1">
      <c r="A6" s="3" t="inlineStr">
        <is>
          <t>3.</t>
        </is>
      </c>
      <c r="B6" s="4" t="inlineStr">
        <is>
          <t>Add your title/escrow companies in the Companies tab.</t>
        </is>
      </c>
    </row>
    <row r="7" ht="22" customHeight="1">
      <c r="A7" s="3" t="inlineStr">
        <is>
          <t>4.</t>
        </is>
      </c>
      <c r="B7" s="4" t="inlineStr">
        <is>
          <t>Log each job in the Signing Log — Net profit calculates itself.</t>
        </is>
      </c>
    </row>
    <row r="8" ht="22" customHeight="1">
      <c r="A8" s="3" t="inlineStr">
        <is>
          <t>5.</t>
        </is>
      </c>
      <c r="B8" s="4" t="inlineStr">
        <is>
          <t>Log drives in the Mileage Log and costs in Expenses as you go.</t>
        </is>
      </c>
    </row>
    <row r="9" ht="22" customHeight="1">
      <c r="A9" s="3" t="inlineStr">
        <is>
          <t>6.</t>
        </is>
      </c>
      <c r="B9" s="4" t="inlineStr">
        <is>
          <t>Watch the Dashboard. At tax time, hand the Tax Summary to your accountant.</t>
        </is>
      </c>
    </row>
    <row r="11">
      <c r="A11" s="5" t="inlineStr">
        <is>
          <t>Tabs: Settings · Companies · Signing Log · Mileage Log · Expenses · Invoice · Tax Summary · Dashboard</t>
        </is>
      </c>
    </row>
    <row r="13">
      <c r="A13" s="5" t="inlineStr">
        <is>
          <t>⚠️ Disclaimer: this is an organizer, not legal or tax advice. Confirm all figures with a professional.</t>
        </is>
      </c>
    </row>
    <row r="15">
      <c r="A15" s="5" t="inlineStr">
        <is>
          <t>© Signing Agent HQ — single-user license. Do not redistribute.</t>
        </is>
      </c>
    </row>
  </sheetData>
  <mergeCells count="8">
    <mergeCell ref="B4:F4"/>
    <mergeCell ref="A2:F2"/>
    <mergeCell ref="B7:F7"/>
    <mergeCell ref="B6:F6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8" customHeight="1">
      <c r="A1" s="1" t="inlineStr">
        <is>
          <t>⚙️  Settings</t>
        </is>
      </c>
    </row>
    <row r="2" ht="22" customHeight="1">
      <c r="A2" s="2" t="inlineStr">
        <is>
          <t>Update once a year. Everything else flows from here.</t>
        </is>
      </c>
    </row>
    <row r="3">
      <c r="E3" s="3" t="inlineStr">
        <is>
          <t>Appt types</t>
        </is>
      </c>
      <c r="F3" s="3" t="inlineStr">
        <is>
          <t>Status</t>
        </is>
      </c>
      <c r="G3" s="3" t="inlineStr">
        <is>
          <t>Expense categories</t>
        </is>
      </c>
    </row>
    <row r="4">
      <c r="A4" s="3" t="inlineStr">
        <is>
          <t>IRS standard mileage rate (this year)</t>
        </is>
      </c>
      <c r="B4" s="6" t="n">
        <v>0.7</v>
      </c>
      <c r="C4" s="5" t="inlineStr">
        <is>
          <t>← enter the official IRS rate for the current tax year</t>
        </is>
      </c>
      <c r="E4" t="inlineStr">
        <is>
          <t>Refi</t>
        </is>
      </c>
      <c r="F4" t="inlineStr">
        <is>
          <t>Scheduled</t>
        </is>
      </c>
      <c r="G4" t="inlineStr">
        <is>
          <t>Mileage</t>
        </is>
      </c>
    </row>
    <row r="5">
      <c r="E5" t="inlineStr">
        <is>
          <t>Purchase</t>
        </is>
      </c>
      <c r="F5" t="inlineStr">
        <is>
          <t>Completed</t>
        </is>
      </c>
      <c r="G5" t="inlineStr">
        <is>
          <t>Supplies</t>
        </is>
      </c>
    </row>
    <row r="6">
      <c r="A6" s="3" t="inlineStr">
        <is>
          <t>Business name</t>
        </is>
      </c>
      <c r="B6" t="inlineStr">
        <is>
          <t>Your Notary Business, LLC</t>
        </is>
      </c>
      <c r="E6" t="inlineStr">
        <is>
          <t>Seller</t>
        </is>
      </c>
      <c r="F6" t="inlineStr">
        <is>
          <t>Docs back</t>
        </is>
      </c>
      <c r="G6" t="inlineStr">
        <is>
          <t>E&amp;O Insurance</t>
        </is>
      </c>
    </row>
    <row r="7">
      <c r="A7" s="3" t="inlineStr">
        <is>
          <t>Your name</t>
        </is>
      </c>
      <c r="B7" t="inlineStr">
        <is>
          <t>Your Name</t>
        </is>
      </c>
      <c r="E7" t="inlineStr">
        <is>
          <t>HELOC</t>
        </is>
      </c>
      <c r="F7" t="inlineStr">
        <is>
          <t>Invoiced</t>
        </is>
      </c>
      <c r="G7" t="inlineStr">
        <is>
          <t>Training/Education</t>
        </is>
      </c>
    </row>
    <row r="8">
      <c r="E8" t="inlineStr">
        <is>
          <t>Reverse</t>
        </is>
      </c>
      <c r="F8" t="inlineStr">
        <is>
          <t>Paid</t>
        </is>
      </c>
      <c r="G8" t="inlineStr">
        <is>
          <t>Phone/Internet</t>
        </is>
      </c>
    </row>
    <row r="9">
      <c r="E9" t="inlineStr">
        <is>
          <t>Apostille</t>
        </is>
      </c>
      <c r="F9" t="inlineStr">
        <is>
          <t>Cancelled</t>
        </is>
      </c>
      <c r="G9" t="inlineStr">
        <is>
          <t>NNA Membership</t>
        </is>
      </c>
    </row>
    <row r="10">
      <c r="E10" t="inlineStr">
        <is>
          <t>RON</t>
        </is>
      </c>
      <c r="G10" t="inlineStr">
        <is>
          <t>Software</t>
        </is>
      </c>
    </row>
    <row r="11">
      <c r="E11" t="inlineStr">
        <is>
          <t>Inspection</t>
        </is>
      </c>
      <c r="G11" t="inlineStr">
        <is>
          <t>Marketing</t>
        </is>
      </c>
    </row>
    <row r="12">
      <c r="E12" t="inlineStr">
        <is>
          <t>General Notary</t>
        </is>
      </c>
      <c r="G12" t="inlineStr">
        <is>
          <t>Printing</t>
        </is>
      </c>
    </row>
    <row r="13">
      <c r="G13" t="inlineStr">
        <is>
          <t>Other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2" customWidth="1" min="4" max="4"/>
    <col width="16" customWidth="1" min="5" max="5"/>
    <col width="14" customWidth="1" min="6" max="6"/>
    <col width="30" customWidth="1" min="7" max="7"/>
  </cols>
  <sheetData>
    <row r="1" ht="38" customHeight="1">
      <c r="A1" s="1" t="inlineStr">
        <is>
          <t>🏢  Title / Escrow Companies</t>
        </is>
      </c>
    </row>
    <row r="2" ht="22" customHeight="1">
      <c r="A2" s="2" t="inlineStr">
        <is>
          <t>Rate who pays best and fastest — fire the slow payers.</t>
        </is>
      </c>
    </row>
    <row r="4">
      <c r="A4" s="7" t="inlineStr">
        <is>
          <t>Company</t>
        </is>
      </c>
      <c r="B4" s="7" t="inlineStr">
        <is>
          <t>Contact</t>
        </is>
      </c>
      <c r="C4" s="7" t="inlineStr">
        <is>
          <t>Phone / Email</t>
        </is>
      </c>
      <c r="D4" s="7" t="inlineStr">
        <is>
          <t>Avg fee</t>
        </is>
      </c>
      <c r="E4" s="7" t="inlineStr">
        <is>
          <t>Pay speed (days)</t>
        </is>
      </c>
      <c r="F4" s="7" t="inlineStr">
        <is>
          <t>Rating ★ (1-5)</t>
        </is>
      </c>
      <c r="G4" s="7" t="inlineStr">
        <is>
          <t>Notes</t>
        </is>
      </c>
    </row>
    <row r="5">
      <c r="A5" s="8" t="inlineStr">
        <is>
          <t>Summit Title</t>
        </is>
      </c>
      <c r="B5" s="8" t="inlineStr">
        <is>
          <t>Dana R.</t>
        </is>
      </c>
      <c r="C5" s="8" t="inlineStr">
        <is>
          <t>dana@summit.com</t>
        </is>
      </c>
      <c r="D5" s="9" t="n">
        <v>125</v>
      </c>
      <c r="E5" s="10" t="n">
        <v>14</v>
      </c>
      <c r="F5" s="10" t="n">
        <v>5</v>
      </c>
      <c r="G5" s="8" t="inlineStr">
        <is>
          <t>Reliable, books weekly</t>
        </is>
      </c>
    </row>
    <row r="6">
      <c r="A6" s="8" t="inlineStr">
        <is>
          <t>BlueRock Escrow</t>
        </is>
      </c>
      <c r="B6" s="8" t="inlineStr">
        <is>
          <t>Marcus</t>
        </is>
      </c>
      <c r="C6" s="8" t="inlineStr">
        <is>
          <t>ops@bluerock.com</t>
        </is>
      </c>
      <c r="D6" s="9" t="n">
        <v>100</v>
      </c>
      <c r="E6" s="10" t="n">
        <v>30</v>
      </c>
      <c r="F6" s="10" t="n">
        <v>3</v>
      </c>
      <c r="G6" s="8" t="inlineStr">
        <is>
          <t>Slow pay, chase invoices</t>
        </is>
      </c>
    </row>
    <row r="7">
      <c r="A7" s="8" t="inlineStr">
        <is>
          <t>Coastal Signings</t>
        </is>
      </c>
      <c r="B7" s="8" t="inlineStr">
        <is>
          <t>Priya</t>
        </is>
      </c>
      <c r="C7" s="8" t="inlineStr">
        <is>
          <t>555-0142</t>
        </is>
      </c>
      <c r="D7" s="9" t="n">
        <v>150</v>
      </c>
      <c r="E7" s="10" t="n">
        <v>10</v>
      </c>
      <c r="F7" s="10" t="n">
        <v>5</v>
      </c>
      <c r="G7" s="8" t="inlineStr">
        <is>
          <t>Best payer — prioritize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1" t="n"/>
      <c r="B53" s="11" t="n"/>
      <c r="C53" s="11" t="n"/>
      <c r="D53" s="11" t="n"/>
      <c r="E53" s="11" t="n"/>
      <c r="F53" s="11" t="n"/>
      <c r="G53" s="11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1" t="n"/>
      <c r="B55" s="11" t="n"/>
      <c r="C55" s="11" t="n"/>
      <c r="D55" s="11" t="n"/>
      <c r="E55" s="11" t="n"/>
      <c r="F55" s="11" t="n"/>
      <c r="G55" s="11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1" t="n"/>
      <c r="B57" s="11" t="n"/>
      <c r="C57" s="11" t="n"/>
      <c r="D57" s="11" t="n"/>
      <c r="E57" s="11" t="n"/>
      <c r="F57" s="11" t="n"/>
      <c r="G57" s="11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1" t="n"/>
      <c r="B59" s="11" t="n"/>
      <c r="C59" s="11" t="n"/>
      <c r="D59" s="11" t="n"/>
      <c r="E59" s="11" t="n"/>
      <c r="F59" s="11" t="n"/>
      <c r="G59" s="11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4" customWidth="1" min="4" max="4"/>
    <col width="13" customWidth="1" min="5" max="5"/>
    <col width="12" customWidth="1" min="6" max="6"/>
    <col width="11" customWidth="1" min="7" max="7"/>
    <col width="12" customWidth="1" min="8" max="8"/>
    <col width="15" customWidth="1" min="9" max="9"/>
    <col width="12" customWidth="1" min="10" max="10"/>
    <col width="11" customWidth="1" min="11" max="11"/>
    <col width="13" customWidth="1" min="12" max="12"/>
    <col width="8" customWidth="1" min="13" max="13"/>
  </cols>
  <sheetData>
    <row r="1" ht="38" customHeight="1">
      <c r="A1" s="1" t="inlineStr">
        <is>
          <t>🖊️  Signing Log + CRM</t>
        </is>
      </c>
    </row>
    <row r="2" ht="22" customHeight="1">
      <c r="A2" s="2" t="inlineStr">
        <is>
          <t>One row per appointment. Net profit calculates itself.</t>
        </is>
      </c>
    </row>
    <row r="4">
      <c r="A4" s="7" t="inlineStr">
        <is>
          <t>Date</t>
        </is>
      </c>
      <c r="B4" s="7" t="inlineStr">
        <is>
          <t>Company</t>
        </is>
      </c>
      <c r="C4" s="7" t="inlineStr">
        <is>
          <t>Order #</t>
        </is>
      </c>
      <c r="D4" s="7" t="inlineStr">
        <is>
          <t>Borrower</t>
        </is>
      </c>
      <c r="E4" s="7" t="inlineStr">
        <is>
          <t>Appt type</t>
        </is>
      </c>
      <c r="F4" s="7" t="inlineStr">
        <is>
          <t>Fee quoted</t>
        </is>
      </c>
      <c r="G4" s="7" t="inlineStr">
        <is>
          <t>Fee paid</t>
        </is>
      </c>
      <c r="H4" s="7" t="inlineStr">
        <is>
          <t>Status</t>
        </is>
      </c>
      <c r="I4" s="7" t="inlineStr">
        <is>
          <t>Miles (round-trip)</t>
        </is>
      </c>
      <c r="J4" s="7" t="inlineStr">
        <is>
          <t>Print pages</t>
        </is>
      </c>
      <c r="K4" s="7" t="inlineStr">
        <is>
          <t>Other cost</t>
        </is>
      </c>
      <c r="L4" s="7" t="inlineStr">
        <is>
          <t>Net profit</t>
        </is>
      </c>
      <c r="M4" s="7" t="inlineStr">
        <is>
          <t>Paid?</t>
        </is>
      </c>
    </row>
    <row r="5">
      <c r="A5" s="12" t="inlineStr">
        <is>
          <t>2026-01-08</t>
        </is>
      </c>
      <c r="B5" s="10" t="inlineStr">
        <is>
          <t>Coastal Signings</t>
        </is>
      </c>
      <c r="C5" s="10" t="inlineStr">
        <is>
          <t>CS-1042</t>
        </is>
      </c>
      <c r="D5" s="10" t="inlineStr">
        <is>
          <t>J. Alvarez</t>
        </is>
      </c>
      <c r="E5" s="10" t="inlineStr">
        <is>
          <t>Refi</t>
        </is>
      </c>
      <c r="F5" s="9" t="n">
        <v>150</v>
      </c>
      <c r="G5" s="9" t="n">
        <v>150</v>
      </c>
      <c r="H5" s="10" t="inlineStr">
        <is>
          <t>Paid</t>
        </is>
      </c>
      <c r="I5" s="13" t="n">
        <v>24</v>
      </c>
      <c r="J5" s="10" t="n">
        <v>130</v>
      </c>
      <c r="K5" s="9" t="n">
        <v>0</v>
      </c>
      <c r="L5" s="9">
        <f>IF(G5="","",G5-(I5*Settings!$B$4)-(J5*0.1)-K5)</f>
        <v/>
      </c>
      <c r="M5" s="10">
        <f>IF(H5="Paid","✔","")</f>
        <v/>
      </c>
    </row>
    <row r="6">
      <c r="A6" s="12" t="inlineStr">
        <is>
          <t>2026-01-11</t>
        </is>
      </c>
      <c r="B6" s="10" t="inlineStr">
        <is>
          <t>Summit Title</t>
        </is>
      </c>
      <c r="C6" s="10" t="inlineStr">
        <is>
          <t>ST-9981</t>
        </is>
      </c>
      <c r="D6" s="10" t="inlineStr">
        <is>
          <t>M. Chen</t>
        </is>
      </c>
      <c r="E6" s="10" t="inlineStr">
        <is>
          <t>Purchase</t>
        </is>
      </c>
      <c r="F6" s="9" t="n">
        <v>125</v>
      </c>
      <c r="G6" s="9" t="n">
        <v>125</v>
      </c>
      <c r="H6" s="10" t="inlineStr">
        <is>
          <t>Paid</t>
        </is>
      </c>
      <c r="I6" s="13" t="n">
        <v>18</v>
      </c>
      <c r="J6" s="10" t="n">
        <v>110</v>
      </c>
      <c r="K6" s="9" t="n">
        <v>0</v>
      </c>
      <c r="L6" s="9">
        <f>IF(G6="","",G6-(I6*Settings!$B$4)-(J6*0.1)-K6)</f>
        <v/>
      </c>
      <c r="M6" s="10">
        <f>IF(H6="Paid","✔","")</f>
        <v/>
      </c>
    </row>
    <row r="7">
      <c r="A7" s="12" t="inlineStr">
        <is>
          <t>2026-01-14</t>
        </is>
      </c>
      <c r="B7" s="10" t="inlineStr">
        <is>
          <t>BlueRock Escrow</t>
        </is>
      </c>
      <c r="C7" s="10" t="inlineStr">
        <is>
          <t>BR-204</t>
        </is>
      </c>
      <c r="D7" s="10" t="inlineStr">
        <is>
          <t>T. Okafor</t>
        </is>
      </c>
      <c r="E7" s="10" t="inlineStr">
        <is>
          <t>HELOC</t>
        </is>
      </c>
      <c r="F7" s="9" t="n">
        <v>100</v>
      </c>
      <c r="G7" s="9" t="n">
        <v>0</v>
      </c>
      <c r="H7" s="10" t="inlineStr">
        <is>
          <t>Invoiced</t>
        </is>
      </c>
      <c r="I7" s="13" t="n">
        <v>32</v>
      </c>
      <c r="J7" s="10" t="n">
        <v>60</v>
      </c>
      <c r="K7" s="9" t="n">
        <v>0</v>
      </c>
      <c r="L7" s="9">
        <f>IF(G7="","",G7-(I7*Settings!$B$4)-(J7*0.1)-K7)</f>
        <v/>
      </c>
      <c r="M7" s="10">
        <f>IF(H7="Paid","✔","")</f>
        <v/>
      </c>
    </row>
    <row r="8">
      <c r="A8" s="12" t="inlineStr">
        <is>
          <t>2026-01-16</t>
        </is>
      </c>
      <c r="B8" s="10" t="inlineStr">
        <is>
          <t>Coastal Signings</t>
        </is>
      </c>
      <c r="C8" s="10" t="inlineStr">
        <is>
          <t>CS-1051</t>
        </is>
      </c>
      <c r="D8" s="10" t="inlineStr">
        <is>
          <t>R. Patel</t>
        </is>
      </c>
      <c r="E8" s="10" t="inlineStr">
        <is>
          <t>Seller</t>
        </is>
      </c>
      <c r="F8" s="9" t="n">
        <v>150</v>
      </c>
      <c r="G8" s="9" t="n">
        <v>150</v>
      </c>
      <c r="H8" s="10" t="inlineStr">
        <is>
          <t>Paid</t>
        </is>
      </c>
      <c r="I8" s="13" t="n">
        <v>12</v>
      </c>
      <c r="J8" s="10" t="n">
        <v>40</v>
      </c>
      <c r="K8" s="9" t="n">
        <v>0</v>
      </c>
      <c r="L8" s="9">
        <f>IF(G8="","",G8-(I8*Settings!$B$4)-(J8*0.1)-K8)</f>
        <v/>
      </c>
      <c r="M8" s="10">
        <f>IF(H8="Paid","✔","")</f>
        <v/>
      </c>
    </row>
    <row r="9">
      <c r="A9" s="12" t="inlineStr">
        <is>
          <t>2026-01-21</t>
        </is>
      </c>
      <c r="B9" s="10" t="inlineStr">
        <is>
          <t>Summit Title</t>
        </is>
      </c>
      <c r="C9" s="10" t="inlineStr">
        <is>
          <t>ST-1007</t>
        </is>
      </c>
      <c r="D9" s="10" t="inlineStr">
        <is>
          <t>K. Wallace</t>
        </is>
      </c>
      <c r="E9" s="10" t="inlineStr">
        <is>
          <t>Refi</t>
        </is>
      </c>
      <c r="F9" s="9" t="n">
        <v>125</v>
      </c>
      <c r="G9" s="9" t="n">
        <v>0</v>
      </c>
      <c r="H9" s="10" t="inlineStr">
        <is>
          <t>Docs back</t>
        </is>
      </c>
      <c r="I9" s="13" t="n">
        <v>27</v>
      </c>
      <c r="J9" s="10" t="n">
        <v>120</v>
      </c>
      <c r="K9" s="9" t="n">
        <v>0</v>
      </c>
      <c r="L9" s="9">
        <f>IF(G9="","",G9-(I9*Settings!$B$4)-(J9*0.1)-K9)</f>
        <v/>
      </c>
      <c r="M9" s="10">
        <f>IF(H9="Paid","✔","")</f>
        <v/>
      </c>
    </row>
    <row r="10">
      <c r="A10" s="12" t="n"/>
      <c r="B10" s="10" t="n"/>
      <c r="C10" s="10" t="n"/>
      <c r="D10" s="10" t="n"/>
      <c r="E10" s="10" t="n"/>
      <c r="F10" s="9" t="n"/>
      <c r="G10" s="9" t="n"/>
      <c r="H10" s="10" t="n"/>
      <c r="I10" s="13" t="n"/>
      <c r="J10" s="10" t="n"/>
      <c r="K10" s="9" t="n"/>
      <c r="L10" s="9">
        <f>IF(G10="","",G10-(I10*Settings!$B$4)-(J10*0.1)-K10)</f>
        <v/>
      </c>
      <c r="M10" s="10">
        <f>IF(H10="Paid","✔","")</f>
        <v/>
      </c>
    </row>
    <row r="11">
      <c r="A11" s="12" t="n"/>
      <c r="B11" s="10" t="n"/>
      <c r="C11" s="10" t="n"/>
      <c r="D11" s="10" t="n"/>
      <c r="E11" s="10" t="n"/>
      <c r="F11" s="9" t="n"/>
      <c r="G11" s="9" t="n"/>
      <c r="H11" s="10" t="n"/>
      <c r="I11" s="13" t="n"/>
      <c r="J11" s="10" t="n"/>
      <c r="K11" s="9" t="n"/>
      <c r="L11" s="9">
        <f>IF(G11="","",G11-(I11*Settings!$B$4)-(J11*0.1)-K11)</f>
        <v/>
      </c>
      <c r="M11" s="10">
        <f>IF(H11="Paid","✔","")</f>
        <v/>
      </c>
    </row>
    <row r="12">
      <c r="A12" s="12" t="n"/>
      <c r="B12" s="10" t="n"/>
      <c r="C12" s="10" t="n"/>
      <c r="D12" s="10" t="n"/>
      <c r="E12" s="10" t="n"/>
      <c r="F12" s="9" t="n"/>
      <c r="G12" s="9" t="n"/>
      <c r="H12" s="10" t="n"/>
      <c r="I12" s="13" t="n"/>
      <c r="J12" s="10" t="n"/>
      <c r="K12" s="9" t="n"/>
      <c r="L12" s="9">
        <f>IF(G12="","",G12-(I12*Settings!$B$4)-(J12*0.1)-K12)</f>
        <v/>
      </c>
      <c r="M12" s="10">
        <f>IF(H12="Paid","✔","")</f>
        <v/>
      </c>
    </row>
    <row r="13">
      <c r="A13" s="12" t="n"/>
      <c r="B13" s="10" t="n"/>
      <c r="C13" s="10" t="n"/>
      <c r="D13" s="10" t="n"/>
      <c r="E13" s="10" t="n"/>
      <c r="F13" s="9" t="n"/>
      <c r="G13" s="9" t="n"/>
      <c r="H13" s="10" t="n"/>
      <c r="I13" s="13" t="n"/>
      <c r="J13" s="10" t="n"/>
      <c r="K13" s="9" t="n"/>
      <c r="L13" s="9">
        <f>IF(G13="","",G13-(I13*Settings!$B$4)-(J13*0.1)-K13)</f>
        <v/>
      </c>
      <c r="M13" s="10">
        <f>IF(H13="Paid","✔","")</f>
        <v/>
      </c>
    </row>
    <row r="14">
      <c r="A14" s="12" t="n"/>
      <c r="B14" s="10" t="n"/>
      <c r="C14" s="10" t="n"/>
      <c r="D14" s="10" t="n"/>
      <c r="E14" s="10" t="n"/>
      <c r="F14" s="9" t="n"/>
      <c r="G14" s="9" t="n"/>
      <c r="H14" s="10" t="n"/>
      <c r="I14" s="13" t="n"/>
      <c r="J14" s="10" t="n"/>
      <c r="K14" s="9" t="n"/>
      <c r="L14" s="9">
        <f>IF(G14="","",G14-(I14*Settings!$B$4)-(J14*0.1)-K14)</f>
        <v/>
      </c>
      <c r="M14" s="10">
        <f>IF(H14="Paid","✔","")</f>
        <v/>
      </c>
    </row>
    <row r="15">
      <c r="A15" s="12" t="n"/>
      <c r="B15" s="10" t="n"/>
      <c r="C15" s="10" t="n"/>
      <c r="D15" s="10" t="n"/>
      <c r="E15" s="10" t="n"/>
      <c r="F15" s="9" t="n"/>
      <c r="G15" s="9" t="n"/>
      <c r="H15" s="10" t="n"/>
      <c r="I15" s="13" t="n"/>
      <c r="J15" s="10" t="n"/>
      <c r="K15" s="9" t="n"/>
      <c r="L15" s="9">
        <f>IF(G15="","",G15-(I15*Settings!$B$4)-(J15*0.1)-K15)</f>
        <v/>
      </c>
      <c r="M15" s="10">
        <f>IF(H15="Paid","✔","")</f>
        <v/>
      </c>
    </row>
    <row r="16">
      <c r="A16" s="12" t="n"/>
      <c r="B16" s="10" t="n"/>
      <c r="C16" s="10" t="n"/>
      <c r="D16" s="10" t="n"/>
      <c r="E16" s="10" t="n"/>
      <c r="F16" s="9" t="n"/>
      <c r="G16" s="9" t="n"/>
      <c r="H16" s="10" t="n"/>
      <c r="I16" s="13" t="n"/>
      <c r="J16" s="10" t="n"/>
      <c r="K16" s="9" t="n"/>
      <c r="L16" s="9">
        <f>IF(G16="","",G16-(I16*Settings!$B$4)-(J16*0.1)-K16)</f>
        <v/>
      </c>
      <c r="M16" s="10">
        <f>IF(H16="Paid","✔","")</f>
        <v/>
      </c>
    </row>
    <row r="17">
      <c r="A17" s="12" t="n"/>
      <c r="B17" s="10" t="n"/>
      <c r="C17" s="10" t="n"/>
      <c r="D17" s="10" t="n"/>
      <c r="E17" s="10" t="n"/>
      <c r="F17" s="9" t="n"/>
      <c r="G17" s="9" t="n"/>
      <c r="H17" s="10" t="n"/>
      <c r="I17" s="13" t="n"/>
      <c r="J17" s="10" t="n"/>
      <c r="K17" s="9" t="n"/>
      <c r="L17" s="9">
        <f>IF(G17="","",G17-(I17*Settings!$B$4)-(J17*0.1)-K17)</f>
        <v/>
      </c>
      <c r="M17" s="10">
        <f>IF(H17="Paid","✔","")</f>
        <v/>
      </c>
    </row>
    <row r="18">
      <c r="A18" s="12" t="n"/>
      <c r="B18" s="10" t="n"/>
      <c r="C18" s="10" t="n"/>
      <c r="D18" s="10" t="n"/>
      <c r="E18" s="10" t="n"/>
      <c r="F18" s="9" t="n"/>
      <c r="G18" s="9" t="n"/>
      <c r="H18" s="10" t="n"/>
      <c r="I18" s="13" t="n"/>
      <c r="J18" s="10" t="n"/>
      <c r="K18" s="9" t="n"/>
      <c r="L18" s="9">
        <f>IF(G18="","",G18-(I18*Settings!$B$4)-(J18*0.1)-K18)</f>
        <v/>
      </c>
      <c r="M18" s="10">
        <f>IF(H18="Paid","✔","")</f>
        <v/>
      </c>
    </row>
    <row r="19">
      <c r="A19" s="12" t="n"/>
      <c r="B19" s="10" t="n"/>
      <c r="C19" s="10" t="n"/>
      <c r="D19" s="10" t="n"/>
      <c r="E19" s="10" t="n"/>
      <c r="F19" s="9" t="n"/>
      <c r="G19" s="9" t="n"/>
      <c r="H19" s="10" t="n"/>
      <c r="I19" s="13" t="n"/>
      <c r="J19" s="10" t="n"/>
      <c r="K19" s="9" t="n"/>
      <c r="L19" s="9">
        <f>IF(G19="","",G19-(I19*Settings!$B$4)-(J19*0.1)-K19)</f>
        <v/>
      </c>
      <c r="M19" s="10">
        <f>IF(H19="Paid","✔","")</f>
        <v/>
      </c>
    </row>
    <row r="20">
      <c r="A20" s="12" t="n"/>
      <c r="B20" s="10" t="n"/>
      <c r="C20" s="10" t="n"/>
      <c r="D20" s="10" t="n"/>
      <c r="E20" s="10" t="n"/>
      <c r="F20" s="9" t="n"/>
      <c r="G20" s="9" t="n"/>
      <c r="H20" s="10" t="n"/>
      <c r="I20" s="13" t="n"/>
      <c r="J20" s="10" t="n"/>
      <c r="K20" s="9" t="n"/>
      <c r="L20" s="9">
        <f>IF(G20="","",G20-(I20*Settings!$B$4)-(J20*0.1)-K20)</f>
        <v/>
      </c>
      <c r="M20" s="10">
        <f>IF(H20="Paid","✔","")</f>
        <v/>
      </c>
    </row>
    <row r="21">
      <c r="A21" s="12" t="n"/>
      <c r="B21" s="10" t="n"/>
      <c r="C21" s="10" t="n"/>
      <c r="D21" s="10" t="n"/>
      <c r="E21" s="10" t="n"/>
      <c r="F21" s="9" t="n"/>
      <c r="G21" s="9" t="n"/>
      <c r="H21" s="10" t="n"/>
      <c r="I21" s="13" t="n"/>
      <c r="J21" s="10" t="n"/>
      <c r="K21" s="9" t="n"/>
      <c r="L21" s="9">
        <f>IF(G21="","",G21-(I21*Settings!$B$4)-(J21*0.1)-K21)</f>
        <v/>
      </c>
      <c r="M21" s="10">
        <f>IF(H21="Paid","✔","")</f>
        <v/>
      </c>
    </row>
    <row r="22">
      <c r="A22" s="12" t="n"/>
      <c r="B22" s="10" t="n"/>
      <c r="C22" s="10" t="n"/>
      <c r="D22" s="10" t="n"/>
      <c r="E22" s="10" t="n"/>
      <c r="F22" s="9" t="n"/>
      <c r="G22" s="9" t="n"/>
      <c r="H22" s="10" t="n"/>
      <c r="I22" s="13" t="n"/>
      <c r="J22" s="10" t="n"/>
      <c r="K22" s="9" t="n"/>
      <c r="L22" s="9">
        <f>IF(G22="","",G22-(I22*Settings!$B$4)-(J22*0.1)-K22)</f>
        <v/>
      </c>
      <c r="M22" s="10">
        <f>IF(H22="Paid","✔","")</f>
        <v/>
      </c>
    </row>
    <row r="23">
      <c r="A23" s="12" t="n"/>
      <c r="B23" s="10" t="n"/>
      <c r="C23" s="10" t="n"/>
      <c r="D23" s="10" t="n"/>
      <c r="E23" s="10" t="n"/>
      <c r="F23" s="9" t="n"/>
      <c r="G23" s="9" t="n"/>
      <c r="H23" s="10" t="n"/>
      <c r="I23" s="13" t="n"/>
      <c r="J23" s="10" t="n"/>
      <c r="K23" s="9" t="n"/>
      <c r="L23" s="9">
        <f>IF(G23="","",G23-(I23*Settings!$B$4)-(J23*0.1)-K23)</f>
        <v/>
      </c>
      <c r="M23" s="10">
        <f>IF(H23="Paid","✔","")</f>
        <v/>
      </c>
    </row>
    <row r="24">
      <c r="A24" s="12" t="n"/>
      <c r="B24" s="10" t="n"/>
      <c r="C24" s="10" t="n"/>
      <c r="D24" s="10" t="n"/>
      <c r="E24" s="10" t="n"/>
      <c r="F24" s="9" t="n"/>
      <c r="G24" s="9" t="n"/>
      <c r="H24" s="10" t="n"/>
      <c r="I24" s="13" t="n"/>
      <c r="J24" s="10" t="n"/>
      <c r="K24" s="9" t="n"/>
      <c r="L24" s="9">
        <f>IF(G24="","",G24-(I24*Settings!$B$4)-(J24*0.1)-K24)</f>
        <v/>
      </c>
      <c r="M24" s="10">
        <f>IF(H24="Paid","✔","")</f>
        <v/>
      </c>
    </row>
    <row r="25">
      <c r="A25" s="12" t="n"/>
      <c r="B25" s="10" t="n"/>
      <c r="C25" s="10" t="n"/>
      <c r="D25" s="10" t="n"/>
      <c r="E25" s="10" t="n"/>
      <c r="F25" s="9" t="n"/>
      <c r="G25" s="9" t="n"/>
      <c r="H25" s="10" t="n"/>
      <c r="I25" s="13" t="n"/>
      <c r="J25" s="10" t="n"/>
      <c r="K25" s="9" t="n"/>
      <c r="L25" s="9">
        <f>IF(G25="","",G25-(I25*Settings!$B$4)-(J25*0.1)-K25)</f>
        <v/>
      </c>
      <c r="M25" s="10">
        <f>IF(H25="Paid","✔","")</f>
        <v/>
      </c>
    </row>
    <row r="26">
      <c r="A26" s="12" t="n"/>
      <c r="B26" s="10" t="n"/>
      <c r="C26" s="10" t="n"/>
      <c r="D26" s="10" t="n"/>
      <c r="E26" s="10" t="n"/>
      <c r="F26" s="9" t="n"/>
      <c r="G26" s="9" t="n"/>
      <c r="H26" s="10" t="n"/>
      <c r="I26" s="13" t="n"/>
      <c r="J26" s="10" t="n"/>
      <c r="K26" s="9" t="n"/>
      <c r="L26" s="9">
        <f>IF(G26="","",G26-(I26*Settings!$B$4)-(J26*0.1)-K26)</f>
        <v/>
      </c>
      <c r="M26" s="10">
        <f>IF(H26="Paid","✔","")</f>
        <v/>
      </c>
    </row>
    <row r="27">
      <c r="A27" s="12" t="n"/>
      <c r="B27" s="10" t="n"/>
      <c r="C27" s="10" t="n"/>
      <c r="D27" s="10" t="n"/>
      <c r="E27" s="10" t="n"/>
      <c r="F27" s="9" t="n"/>
      <c r="G27" s="9" t="n"/>
      <c r="H27" s="10" t="n"/>
      <c r="I27" s="13" t="n"/>
      <c r="J27" s="10" t="n"/>
      <c r="K27" s="9" t="n"/>
      <c r="L27" s="9">
        <f>IF(G27="","",G27-(I27*Settings!$B$4)-(J27*0.1)-K27)</f>
        <v/>
      </c>
      <c r="M27" s="10">
        <f>IF(H27="Paid","✔","")</f>
        <v/>
      </c>
    </row>
    <row r="28">
      <c r="A28" s="12" t="n"/>
      <c r="B28" s="10" t="n"/>
      <c r="C28" s="10" t="n"/>
      <c r="D28" s="10" t="n"/>
      <c r="E28" s="10" t="n"/>
      <c r="F28" s="9" t="n"/>
      <c r="G28" s="9" t="n"/>
      <c r="H28" s="10" t="n"/>
      <c r="I28" s="13" t="n"/>
      <c r="J28" s="10" t="n"/>
      <c r="K28" s="9" t="n"/>
      <c r="L28" s="9">
        <f>IF(G28="","",G28-(I28*Settings!$B$4)-(J28*0.1)-K28)</f>
        <v/>
      </c>
      <c r="M28" s="10">
        <f>IF(H28="Paid","✔","")</f>
        <v/>
      </c>
    </row>
    <row r="29">
      <c r="A29" s="12" t="n"/>
      <c r="B29" s="10" t="n"/>
      <c r="C29" s="10" t="n"/>
      <c r="D29" s="10" t="n"/>
      <c r="E29" s="10" t="n"/>
      <c r="F29" s="9" t="n"/>
      <c r="G29" s="9" t="n"/>
      <c r="H29" s="10" t="n"/>
      <c r="I29" s="13" t="n"/>
      <c r="J29" s="10" t="n"/>
      <c r="K29" s="9" t="n"/>
      <c r="L29" s="9">
        <f>IF(G29="","",G29-(I29*Settings!$B$4)-(J29*0.1)-K29)</f>
        <v/>
      </c>
      <c r="M29" s="10">
        <f>IF(H29="Paid","✔","")</f>
        <v/>
      </c>
    </row>
    <row r="30">
      <c r="A30" s="12" t="n"/>
      <c r="B30" s="10" t="n"/>
      <c r="C30" s="10" t="n"/>
      <c r="D30" s="10" t="n"/>
      <c r="E30" s="10" t="n"/>
      <c r="F30" s="9" t="n"/>
      <c r="G30" s="9" t="n"/>
      <c r="H30" s="10" t="n"/>
      <c r="I30" s="13" t="n"/>
      <c r="J30" s="10" t="n"/>
      <c r="K30" s="9" t="n"/>
      <c r="L30" s="9">
        <f>IF(G30="","",G30-(I30*Settings!$B$4)-(J30*0.1)-K30)</f>
        <v/>
      </c>
      <c r="M30" s="10">
        <f>IF(H30="Paid","✔","")</f>
        <v/>
      </c>
    </row>
    <row r="31">
      <c r="A31" s="12" t="n"/>
      <c r="B31" s="10" t="n"/>
      <c r="C31" s="10" t="n"/>
      <c r="D31" s="10" t="n"/>
      <c r="E31" s="10" t="n"/>
      <c r="F31" s="9" t="n"/>
      <c r="G31" s="9" t="n"/>
      <c r="H31" s="10" t="n"/>
      <c r="I31" s="13" t="n"/>
      <c r="J31" s="10" t="n"/>
      <c r="K31" s="9" t="n"/>
      <c r="L31" s="9">
        <f>IF(G31="","",G31-(I31*Settings!$B$4)-(J31*0.1)-K31)</f>
        <v/>
      </c>
      <c r="M31" s="10">
        <f>IF(H31="Paid","✔","")</f>
        <v/>
      </c>
    </row>
    <row r="32">
      <c r="A32" s="12" t="n"/>
      <c r="B32" s="10" t="n"/>
      <c r="C32" s="10" t="n"/>
      <c r="D32" s="10" t="n"/>
      <c r="E32" s="10" t="n"/>
      <c r="F32" s="9" t="n"/>
      <c r="G32" s="9" t="n"/>
      <c r="H32" s="10" t="n"/>
      <c r="I32" s="13" t="n"/>
      <c r="J32" s="10" t="n"/>
      <c r="K32" s="9" t="n"/>
      <c r="L32" s="9">
        <f>IF(G32="","",G32-(I32*Settings!$B$4)-(J32*0.1)-K32)</f>
        <v/>
      </c>
      <c r="M32" s="10">
        <f>IF(H32="Paid","✔","")</f>
        <v/>
      </c>
    </row>
    <row r="33">
      <c r="A33" s="12" t="n"/>
      <c r="B33" s="10" t="n"/>
      <c r="C33" s="10" t="n"/>
      <c r="D33" s="10" t="n"/>
      <c r="E33" s="10" t="n"/>
      <c r="F33" s="9" t="n"/>
      <c r="G33" s="9" t="n"/>
      <c r="H33" s="10" t="n"/>
      <c r="I33" s="13" t="n"/>
      <c r="J33" s="10" t="n"/>
      <c r="K33" s="9" t="n"/>
      <c r="L33" s="9">
        <f>IF(G33="","",G33-(I33*Settings!$B$4)-(J33*0.1)-K33)</f>
        <v/>
      </c>
      <c r="M33" s="10">
        <f>IF(H33="Paid","✔","")</f>
        <v/>
      </c>
    </row>
    <row r="34">
      <c r="A34" s="12" t="n"/>
      <c r="B34" s="10" t="n"/>
      <c r="C34" s="10" t="n"/>
      <c r="D34" s="10" t="n"/>
      <c r="E34" s="10" t="n"/>
      <c r="F34" s="9" t="n"/>
      <c r="G34" s="9" t="n"/>
      <c r="H34" s="10" t="n"/>
      <c r="I34" s="13" t="n"/>
      <c r="J34" s="10" t="n"/>
      <c r="K34" s="9" t="n"/>
      <c r="L34" s="9">
        <f>IF(G34="","",G34-(I34*Settings!$B$4)-(J34*0.1)-K34)</f>
        <v/>
      </c>
      <c r="M34" s="10">
        <f>IF(H34="Paid","✔","")</f>
        <v/>
      </c>
    </row>
    <row r="35">
      <c r="A35" s="12" t="n"/>
      <c r="B35" s="10" t="n"/>
      <c r="C35" s="10" t="n"/>
      <c r="D35" s="10" t="n"/>
      <c r="E35" s="10" t="n"/>
      <c r="F35" s="9" t="n"/>
      <c r="G35" s="9" t="n"/>
      <c r="H35" s="10" t="n"/>
      <c r="I35" s="13" t="n"/>
      <c r="J35" s="10" t="n"/>
      <c r="K35" s="9" t="n"/>
      <c r="L35" s="9">
        <f>IF(G35="","",G35-(I35*Settings!$B$4)-(J35*0.1)-K35)</f>
        <v/>
      </c>
      <c r="M35" s="10">
        <f>IF(H35="Paid","✔","")</f>
        <v/>
      </c>
    </row>
    <row r="36">
      <c r="A36" s="12" t="n"/>
      <c r="B36" s="10" t="n"/>
      <c r="C36" s="10" t="n"/>
      <c r="D36" s="10" t="n"/>
      <c r="E36" s="10" t="n"/>
      <c r="F36" s="9" t="n"/>
      <c r="G36" s="9" t="n"/>
      <c r="H36" s="10" t="n"/>
      <c r="I36" s="13" t="n"/>
      <c r="J36" s="10" t="n"/>
      <c r="K36" s="9" t="n"/>
      <c r="L36" s="9">
        <f>IF(G36="","",G36-(I36*Settings!$B$4)-(J36*0.1)-K36)</f>
        <v/>
      </c>
      <c r="M36" s="10">
        <f>IF(H36="Paid","✔","")</f>
        <v/>
      </c>
    </row>
    <row r="37">
      <c r="A37" s="12" t="n"/>
      <c r="B37" s="10" t="n"/>
      <c r="C37" s="10" t="n"/>
      <c r="D37" s="10" t="n"/>
      <c r="E37" s="10" t="n"/>
      <c r="F37" s="9" t="n"/>
      <c r="G37" s="9" t="n"/>
      <c r="H37" s="10" t="n"/>
      <c r="I37" s="13" t="n"/>
      <c r="J37" s="10" t="n"/>
      <c r="K37" s="9" t="n"/>
      <c r="L37" s="9">
        <f>IF(G37="","",G37-(I37*Settings!$B$4)-(J37*0.1)-K37)</f>
        <v/>
      </c>
      <c r="M37" s="10">
        <f>IF(H37="Paid","✔","")</f>
        <v/>
      </c>
    </row>
    <row r="38">
      <c r="A38" s="12" t="n"/>
      <c r="B38" s="10" t="n"/>
      <c r="C38" s="10" t="n"/>
      <c r="D38" s="10" t="n"/>
      <c r="E38" s="10" t="n"/>
      <c r="F38" s="9" t="n"/>
      <c r="G38" s="9" t="n"/>
      <c r="H38" s="10" t="n"/>
      <c r="I38" s="13" t="n"/>
      <c r="J38" s="10" t="n"/>
      <c r="K38" s="9" t="n"/>
      <c r="L38" s="9">
        <f>IF(G38="","",G38-(I38*Settings!$B$4)-(J38*0.1)-K38)</f>
        <v/>
      </c>
      <c r="M38" s="10">
        <f>IF(H38="Paid","✔","")</f>
        <v/>
      </c>
    </row>
    <row r="39">
      <c r="A39" s="12" t="n"/>
      <c r="B39" s="10" t="n"/>
      <c r="C39" s="10" t="n"/>
      <c r="D39" s="10" t="n"/>
      <c r="E39" s="10" t="n"/>
      <c r="F39" s="9" t="n"/>
      <c r="G39" s="9" t="n"/>
      <c r="H39" s="10" t="n"/>
      <c r="I39" s="13" t="n"/>
      <c r="J39" s="10" t="n"/>
      <c r="K39" s="9" t="n"/>
      <c r="L39" s="9">
        <f>IF(G39="","",G39-(I39*Settings!$B$4)-(J39*0.1)-K39)</f>
        <v/>
      </c>
      <c r="M39" s="10">
        <f>IF(H39="Paid","✔","")</f>
        <v/>
      </c>
    </row>
    <row r="40">
      <c r="A40" s="12" t="n"/>
      <c r="B40" s="10" t="n"/>
      <c r="C40" s="10" t="n"/>
      <c r="D40" s="10" t="n"/>
      <c r="E40" s="10" t="n"/>
      <c r="F40" s="9" t="n"/>
      <c r="G40" s="9" t="n"/>
      <c r="H40" s="10" t="n"/>
      <c r="I40" s="13" t="n"/>
      <c r="J40" s="10" t="n"/>
      <c r="K40" s="9" t="n"/>
      <c r="L40" s="9">
        <f>IF(G40="","",G40-(I40*Settings!$B$4)-(J40*0.1)-K40)</f>
        <v/>
      </c>
      <c r="M40" s="10">
        <f>IF(H40="Paid","✔","")</f>
        <v/>
      </c>
    </row>
    <row r="41">
      <c r="A41" s="12" t="n"/>
      <c r="B41" s="10" t="n"/>
      <c r="C41" s="10" t="n"/>
      <c r="D41" s="10" t="n"/>
      <c r="E41" s="10" t="n"/>
      <c r="F41" s="9" t="n"/>
      <c r="G41" s="9" t="n"/>
      <c r="H41" s="10" t="n"/>
      <c r="I41" s="13" t="n"/>
      <c r="J41" s="10" t="n"/>
      <c r="K41" s="9" t="n"/>
      <c r="L41" s="9">
        <f>IF(G41="","",G41-(I41*Settings!$B$4)-(J41*0.1)-K41)</f>
        <v/>
      </c>
      <c r="M41" s="10">
        <f>IF(H41="Paid","✔","")</f>
        <v/>
      </c>
    </row>
    <row r="42">
      <c r="A42" s="12" t="n"/>
      <c r="B42" s="10" t="n"/>
      <c r="C42" s="10" t="n"/>
      <c r="D42" s="10" t="n"/>
      <c r="E42" s="10" t="n"/>
      <c r="F42" s="9" t="n"/>
      <c r="G42" s="9" t="n"/>
      <c r="H42" s="10" t="n"/>
      <c r="I42" s="13" t="n"/>
      <c r="J42" s="10" t="n"/>
      <c r="K42" s="9" t="n"/>
      <c r="L42" s="9">
        <f>IF(G42="","",G42-(I42*Settings!$B$4)-(J42*0.1)-K42)</f>
        <v/>
      </c>
      <c r="M42" s="10">
        <f>IF(H42="Paid","✔","")</f>
        <v/>
      </c>
    </row>
    <row r="43">
      <c r="A43" s="12" t="n"/>
      <c r="B43" s="10" t="n"/>
      <c r="C43" s="10" t="n"/>
      <c r="D43" s="10" t="n"/>
      <c r="E43" s="10" t="n"/>
      <c r="F43" s="9" t="n"/>
      <c r="G43" s="9" t="n"/>
      <c r="H43" s="10" t="n"/>
      <c r="I43" s="13" t="n"/>
      <c r="J43" s="10" t="n"/>
      <c r="K43" s="9" t="n"/>
      <c r="L43" s="9">
        <f>IF(G43="","",G43-(I43*Settings!$B$4)-(J43*0.1)-K43)</f>
        <v/>
      </c>
      <c r="M43" s="10">
        <f>IF(H43="Paid","✔","")</f>
        <v/>
      </c>
    </row>
    <row r="44">
      <c r="A44" s="12" t="n"/>
      <c r="B44" s="10" t="n"/>
      <c r="C44" s="10" t="n"/>
      <c r="D44" s="10" t="n"/>
      <c r="E44" s="10" t="n"/>
      <c r="F44" s="9" t="n"/>
      <c r="G44" s="9" t="n"/>
      <c r="H44" s="10" t="n"/>
      <c r="I44" s="13" t="n"/>
      <c r="J44" s="10" t="n"/>
      <c r="K44" s="9" t="n"/>
      <c r="L44" s="9">
        <f>IF(G44="","",G44-(I44*Settings!$B$4)-(J44*0.1)-K44)</f>
        <v/>
      </c>
      <c r="M44" s="10">
        <f>IF(H44="Paid","✔","")</f>
        <v/>
      </c>
    </row>
    <row r="45">
      <c r="A45" s="12" t="n"/>
      <c r="B45" s="10" t="n"/>
      <c r="C45" s="10" t="n"/>
      <c r="D45" s="10" t="n"/>
      <c r="E45" s="10" t="n"/>
      <c r="F45" s="9" t="n"/>
      <c r="G45" s="9" t="n"/>
      <c r="H45" s="10" t="n"/>
      <c r="I45" s="13" t="n"/>
      <c r="J45" s="10" t="n"/>
      <c r="K45" s="9" t="n"/>
      <c r="L45" s="9">
        <f>IF(G45="","",G45-(I45*Settings!$B$4)-(J45*0.1)-K45)</f>
        <v/>
      </c>
      <c r="M45" s="10">
        <f>IF(H45="Paid","✔","")</f>
        <v/>
      </c>
    </row>
    <row r="46">
      <c r="A46" s="12" t="n"/>
      <c r="B46" s="10" t="n"/>
      <c r="C46" s="10" t="n"/>
      <c r="D46" s="10" t="n"/>
      <c r="E46" s="10" t="n"/>
      <c r="F46" s="9" t="n"/>
      <c r="G46" s="9" t="n"/>
      <c r="H46" s="10" t="n"/>
      <c r="I46" s="13" t="n"/>
      <c r="J46" s="10" t="n"/>
      <c r="K46" s="9" t="n"/>
      <c r="L46" s="9">
        <f>IF(G46="","",G46-(I46*Settings!$B$4)-(J46*0.1)-K46)</f>
        <v/>
      </c>
      <c r="M46" s="10">
        <f>IF(H46="Paid","✔","")</f>
        <v/>
      </c>
    </row>
    <row r="47">
      <c r="A47" s="12" t="n"/>
      <c r="B47" s="10" t="n"/>
      <c r="C47" s="10" t="n"/>
      <c r="D47" s="10" t="n"/>
      <c r="E47" s="10" t="n"/>
      <c r="F47" s="9" t="n"/>
      <c r="G47" s="9" t="n"/>
      <c r="H47" s="10" t="n"/>
      <c r="I47" s="13" t="n"/>
      <c r="J47" s="10" t="n"/>
      <c r="K47" s="9" t="n"/>
      <c r="L47" s="9">
        <f>IF(G47="","",G47-(I47*Settings!$B$4)-(J47*0.1)-K47)</f>
        <v/>
      </c>
      <c r="M47" s="10">
        <f>IF(H47="Paid","✔","")</f>
        <v/>
      </c>
    </row>
    <row r="48">
      <c r="A48" s="12" t="n"/>
      <c r="B48" s="10" t="n"/>
      <c r="C48" s="10" t="n"/>
      <c r="D48" s="10" t="n"/>
      <c r="E48" s="10" t="n"/>
      <c r="F48" s="9" t="n"/>
      <c r="G48" s="9" t="n"/>
      <c r="H48" s="10" t="n"/>
      <c r="I48" s="13" t="n"/>
      <c r="J48" s="10" t="n"/>
      <c r="K48" s="9" t="n"/>
      <c r="L48" s="9">
        <f>IF(G48="","",G48-(I48*Settings!$B$4)-(J48*0.1)-K48)</f>
        <v/>
      </c>
      <c r="M48" s="10">
        <f>IF(H48="Paid","✔","")</f>
        <v/>
      </c>
    </row>
    <row r="49">
      <c r="A49" s="12" t="n"/>
      <c r="B49" s="10" t="n"/>
      <c r="C49" s="10" t="n"/>
      <c r="D49" s="10" t="n"/>
      <c r="E49" s="10" t="n"/>
      <c r="F49" s="9" t="n"/>
      <c r="G49" s="9" t="n"/>
      <c r="H49" s="10" t="n"/>
      <c r="I49" s="13" t="n"/>
      <c r="J49" s="10" t="n"/>
      <c r="K49" s="9" t="n"/>
      <c r="L49" s="9">
        <f>IF(G49="","",G49-(I49*Settings!$B$4)-(J49*0.1)-K49)</f>
        <v/>
      </c>
      <c r="M49" s="10">
        <f>IF(H49="Paid","✔","")</f>
        <v/>
      </c>
    </row>
    <row r="50">
      <c r="A50" s="12" t="n"/>
      <c r="B50" s="10" t="n"/>
      <c r="C50" s="10" t="n"/>
      <c r="D50" s="10" t="n"/>
      <c r="E50" s="10" t="n"/>
      <c r="F50" s="9" t="n"/>
      <c r="G50" s="9" t="n"/>
      <c r="H50" s="10" t="n"/>
      <c r="I50" s="13" t="n"/>
      <c r="J50" s="10" t="n"/>
      <c r="K50" s="9" t="n"/>
      <c r="L50" s="9">
        <f>IF(G50="","",G50-(I50*Settings!$B$4)-(J50*0.1)-K50)</f>
        <v/>
      </c>
      <c r="M50" s="10">
        <f>IF(H50="Paid","✔","")</f>
        <v/>
      </c>
    </row>
    <row r="51">
      <c r="A51" s="12" t="n"/>
      <c r="B51" s="10" t="n"/>
      <c r="C51" s="10" t="n"/>
      <c r="D51" s="10" t="n"/>
      <c r="E51" s="10" t="n"/>
      <c r="F51" s="9" t="n"/>
      <c r="G51" s="9" t="n"/>
      <c r="H51" s="10" t="n"/>
      <c r="I51" s="13" t="n"/>
      <c r="J51" s="10" t="n"/>
      <c r="K51" s="9" t="n"/>
      <c r="L51" s="9">
        <f>IF(G51="","",G51-(I51*Settings!$B$4)-(J51*0.1)-K51)</f>
        <v/>
      </c>
      <c r="M51" s="10">
        <f>IF(H51="Paid","✔","")</f>
        <v/>
      </c>
    </row>
    <row r="52">
      <c r="A52" s="12" t="n"/>
      <c r="B52" s="10" t="n"/>
      <c r="C52" s="10" t="n"/>
      <c r="D52" s="10" t="n"/>
      <c r="E52" s="10" t="n"/>
      <c r="F52" s="9" t="n"/>
      <c r="G52" s="9" t="n"/>
      <c r="H52" s="10" t="n"/>
      <c r="I52" s="13" t="n"/>
      <c r="J52" s="10" t="n"/>
      <c r="K52" s="9" t="n"/>
      <c r="L52" s="9">
        <f>IF(G52="","",G52-(I52*Settings!$B$4)-(J52*0.1)-K52)</f>
        <v/>
      </c>
      <c r="M52" s="10">
        <f>IF(H52="Paid","✔","")</f>
        <v/>
      </c>
    </row>
    <row r="53">
      <c r="A53" s="12" t="n"/>
      <c r="B53" s="10" t="n"/>
      <c r="C53" s="10" t="n"/>
      <c r="D53" s="10" t="n"/>
      <c r="E53" s="10" t="n"/>
      <c r="F53" s="9" t="n"/>
      <c r="G53" s="9" t="n"/>
      <c r="H53" s="10" t="n"/>
      <c r="I53" s="13" t="n"/>
      <c r="J53" s="10" t="n"/>
      <c r="K53" s="9" t="n"/>
      <c r="L53" s="9">
        <f>IF(G53="","",G53-(I53*Settings!$B$4)-(J53*0.1)-K53)</f>
        <v/>
      </c>
      <c r="M53" s="10">
        <f>IF(H53="Paid","✔","")</f>
        <v/>
      </c>
    </row>
    <row r="54">
      <c r="A54" s="12" t="n"/>
      <c r="B54" s="10" t="n"/>
      <c r="C54" s="10" t="n"/>
      <c r="D54" s="10" t="n"/>
      <c r="E54" s="10" t="n"/>
      <c r="F54" s="9" t="n"/>
      <c r="G54" s="9" t="n"/>
      <c r="H54" s="10" t="n"/>
      <c r="I54" s="13" t="n"/>
      <c r="J54" s="10" t="n"/>
      <c r="K54" s="9" t="n"/>
      <c r="L54" s="9">
        <f>IF(G54="","",G54-(I54*Settings!$B$4)-(J54*0.1)-K54)</f>
        <v/>
      </c>
      <c r="M54" s="10">
        <f>IF(H54="Paid","✔","")</f>
        <v/>
      </c>
    </row>
    <row r="55">
      <c r="A55" s="12" t="n"/>
      <c r="B55" s="10" t="n"/>
      <c r="C55" s="10" t="n"/>
      <c r="D55" s="10" t="n"/>
      <c r="E55" s="10" t="n"/>
      <c r="F55" s="9" t="n"/>
      <c r="G55" s="9" t="n"/>
      <c r="H55" s="10" t="n"/>
      <c r="I55" s="13" t="n"/>
      <c r="J55" s="10" t="n"/>
      <c r="K55" s="9" t="n"/>
      <c r="L55" s="9">
        <f>IF(G55="","",G55-(I55*Settings!$B$4)-(J55*0.1)-K55)</f>
        <v/>
      </c>
      <c r="M55" s="10">
        <f>IF(H55="Paid","✔","")</f>
        <v/>
      </c>
    </row>
    <row r="56">
      <c r="A56" s="12" t="n"/>
      <c r="B56" s="10" t="n"/>
      <c r="C56" s="10" t="n"/>
      <c r="D56" s="10" t="n"/>
      <c r="E56" s="10" t="n"/>
      <c r="F56" s="9" t="n"/>
      <c r="G56" s="9" t="n"/>
      <c r="H56" s="10" t="n"/>
      <c r="I56" s="13" t="n"/>
      <c r="J56" s="10" t="n"/>
      <c r="K56" s="9" t="n"/>
      <c r="L56" s="9">
        <f>IF(G56="","",G56-(I56*Settings!$B$4)-(J56*0.1)-K56)</f>
        <v/>
      </c>
      <c r="M56" s="10">
        <f>IF(H56="Paid","✔","")</f>
        <v/>
      </c>
    </row>
    <row r="57">
      <c r="A57" s="12" t="n"/>
      <c r="B57" s="10" t="n"/>
      <c r="C57" s="10" t="n"/>
      <c r="D57" s="10" t="n"/>
      <c r="E57" s="10" t="n"/>
      <c r="F57" s="9" t="n"/>
      <c r="G57" s="9" t="n"/>
      <c r="H57" s="10" t="n"/>
      <c r="I57" s="13" t="n"/>
      <c r="J57" s="10" t="n"/>
      <c r="K57" s="9" t="n"/>
      <c r="L57" s="9">
        <f>IF(G57="","",G57-(I57*Settings!$B$4)-(J57*0.1)-K57)</f>
        <v/>
      </c>
      <c r="M57" s="10">
        <f>IF(H57="Paid","✔","")</f>
        <v/>
      </c>
    </row>
    <row r="58">
      <c r="A58" s="12" t="n"/>
      <c r="B58" s="10" t="n"/>
      <c r="C58" s="10" t="n"/>
      <c r="D58" s="10" t="n"/>
      <c r="E58" s="10" t="n"/>
      <c r="F58" s="9" t="n"/>
      <c r="G58" s="9" t="n"/>
      <c r="H58" s="10" t="n"/>
      <c r="I58" s="13" t="n"/>
      <c r="J58" s="10" t="n"/>
      <c r="K58" s="9" t="n"/>
      <c r="L58" s="9">
        <f>IF(G58="","",G58-(I58*Settings!$B$4)-(J58*0.1)-K58)</f>
        <v/>
      </c>
      <c r="M58" s="10">
        <f>IF(H58="Paid","✔","")</f>
        <v/>
      </c>
    </row>
    <row r="59">
      <c r="A59" s="12" t="n"/>
      <c r="B59" s="10" t="n"/>
      <c r="C59" s="10" t="n"/>
      <c r="D59" s="10" t="n"/>
      <c r="E59" s="10" t="n"/>
      <c r="F59" s="9" t="n"/>
      <c r="G59" s="9" t="n"/>
      <c r="H59" s="10" t="n"/>
      <c r="I59" s="13" t="n"/>
      <c r="J59" s="10" t="n"/>
      <c r="K59" s="9" t="n"/>
      <c r="L59" s="9">
        <f>IF(G59="","",G59-(I59*Settings!$B$4)-(J59*0.1)-K59)</f>
        <v/>
      </c>
      <c r="M59" s="10">
        <f>IF(H59="Paid","✔","")</f>
        <v/>
      </c>
    </row>
    <row r="60">
      <c r="A60" s="12" t="n"/>
      <c r="B60" s="10" t="n"/>
      <c r="C60" s="10" t="n"/>
      <c r="D60" s="10" t="n"/>
      <c r="E60" s="10" t="n"/>
      <c r="F60" s="9" t="n"/>
      <c r="G60" s="9" t="n"/>
      <c r="H60" s="10" t="n"/>
      <c r="I60" s="13" t="n"/>
      <c r="J60" s="10" t="n"/>
      <c r="K60" s="9" t="n"/>
      <c r="L60" s="9">
        <f>IF(G60="","",G60-(I60*Settings!$B$4)-(J60*0.1)-K60)</f>
        <v/>
      </c>
      <c r="M60" s="10">
        <f>IF(H60="Paid","✔","")</f>
        <v/>
      </c>
    </row>
    <row r="61">
      <c r="A61" s="12" t="n"/>
      <c r="B61" s="10" t="n"/>
      <c r="C61" s="10" t="n"/>
      <c r="D61" s="10" t="n"/>
      <c r="E61" s="10" t="n"/>
      <c r="F61" s="9" t="n"/>
      <c r="G61" s="9" t="n"/>
      <c r="H61" s="10" t="n"/>
      <c r="I61" s="13" t="n"/>
      <c r="J61" s="10" t="n"/>
      <c r="K61" s="9" t="n"/>
      <c r="L61" s="9">
        <f>IF(G61="","",G61-(I61*Settings!$B$4)-(J61*0.1)-K61)</f>
        <v/>
      </c>
      <c r="M61" s="10">
        <f>IF(H61="Paid","✔","")</f>
        <v/>
      </c>
    </row>
    <row r="62">
      <c r="A62" s="12" t="n"/>
      <c r="B62" s="10" t="n"/>
      <c r="C62" s="10" t="n"/>
      <c r="D62" s="10" t="n"/>
      <c r="E62" s="10" t="n"/>
      <c r="F62" s="9" t="n"/>
      <c r="G62" s="9" t="n"/>
      <c r="H62" s="10" t="n"/>
      <c r="I62" s="13" t="n"/>
      <c r="J62" s="10" t="n"/>
      <c r="K62" s="9" t="n"/>
      <c r="L62" s="9">
        <f>IF(G62="","",G62-(I62*Settings!$B$4)-(J62*0.1)-K62)</f>
        <v/>
      </c>
      <c r="M62" s="10">
        <f>IF(H62="Paid","✔","")</f>
        <v/>
      </c>
    </row>
    <row r="63">
      <c r="A63" s="12" t="n"/>
      <c r="B63" s="10" t="n"/>
      <c r="C63" s="10" t="n"/>
      <c r="D63" s="10" t="n"/>
      <c r="E63" s="10" t="n"/>
      <c r="F63" s="9" t="n"/>
      <c r="G63" s="9" t="n"/>
      <c r="H63" s="10" t="n"/>
      <c r="I63" s="13" t="n"/>
      <c r="J63" s="10" t="n"/>
      <c r="K63" s="9" t="n"/>
      <c r="L63" s="9">
        <f>IF(G63="","",G63-(I63*Settings!$B$4)-(J63*0.1)-K63)</f>
        <v/>
      </c>
      <c r="M63" s="10">
        <f>IF(H63="Paid","✔","")</f>
        <v/>
      </c>
    </row>
    <row r="64">
      <c r="A64" s="12" t="n"/>
      <c r="B64" s="10" t="n"/>
      <c r="C64" s="10" t="n"/>
      <c r="D64" s="10" t="n"/>
      <c r="E64" s="10" t="n"/>
      <c r="F64" s="9" t="n"/>
      <c r="G64" s="9" t="n"/>
      <c r="H64" s="10" t="n"/>
      <c r="I64" s="13" t="n"/>
      <c r="J64" s="10" t="n"/>
      <c r="K64" s="9" t="n"/>
      <c r="L64" s="9">
        <f>IF(G64="","",G64-(I64*Settings!$B$4)-(J64*0.1)-K64)</f>
        <v/>
      </c>
      <c r="M64" s="10">
        <f>IF(H64="Paid","✔","")</f>
        <v/>
      </c>
    </row>
    <row r="65">
      <c r="A65" s="12" t="n"/>
      <c r="B65" s="10" t="n"/>
      <c r="C65" s="10" t="n"/>
      <c r="D65" s="10" t="n"/>
      <c r="E65" s="10" t="n"/>
      <c r="F65" s="9" t="n"/>
      <c r="G65" s="9" t="n"/>
      <c r="H65" s="10" t="n"/>
      <c r="I65" s="13" t="n"/>
      <c r="J65" s="10" t="n"/>
      <c r="K65" s="9" t="n"/>
      <c r="L65" s="9">
        <f>IF(G65="","",G65-(I65*Settings!$B$4)-(J65*0.1)-K65)</f>
        <v/>
      </c>
      <c r="M65" s="10">
        <f>IF(H65="Paid","✔","")</f>
        <v/>
      </c>
    </row>
    <row r="66">
      <c r="A66" s="12" t="n"/>
      <c r="B66" s="10" t="n"/>
      <c r="C66" s="10" t="n"/>
      <c r="D66" s="10" t="n"/>
      <c r="E66" s="10" t="n"/>
      <c r="F66" s="9" t="n"/>
      <c r="G66" s="9" t="n"/>
      <c r="H66" s="10" t="n"/>
      <c r="I66" s="13" t="n"/>
      <c r="J66" s="10" t="n"/>
      <c r="K66" s="9" t="n"/>
      <c r="L66" s="9">
        <f>IF(G66="","",G66-(I66*Settings!$B$4)-(J66*0.1)-K66)</f>
        <v/>
      </c>
      <c r="M66" s="10">
        <f>IF(H66="Paid","✔","")</f>
        <v/>
      </c>
    </row>
    <row r="67">
      <c r="A67" s="12" t="n"/>
      <c r="B67" s="10" t="n"/>
      <c r="C67" s="10" t="n"/>
      <c r="D67" s="10" t="n"/>
      <c r="E67" s="10" t="n"/>
      <c r="F67" s="9" t="n"/>
      <c r="G67" s="9" t="n"/>
      <c r="H67" s="10" t="n"/>
      <c r="I67" s="13" t="n"/>
      <c r="J67" s="10" t="n"/>
      <c r="K67" s="9" t="n"/>
      <c r="L67" s="9">
        <f>IF(G67="","",G67-(I67*Settings!$B$4)-(J67*0.1)-K67)</f>
        <v/>
      </c>
      <c r="M67" s="10">
        <f>IF(H67="Paid","✔","")</f>
        <v/>
      </c>
    </row>
    <row r="68">
      <c r="A68" s="12" t="n"/>
      <c r="B68" s="10" t="n"/>
      <c r="C68" s="10" t="n"/>
      <c r="D68" s="10" t="n"/>
      <c r="E68" s="10" t="n"/>
      <c r="F68" s="9" t="n"/>
      <c r="G68" s="9" t="n"/>
      <c r="H68" s="10" t="n"/>
      <c r="I68" s="13" t="n"/>
      <c r="J68" s="10" t="n"/>
      <c r="K68" s="9" t="n"/>
      <c r="L68" s="9">
        <f>IF(G68="","",G68-(I68*Settings!$B$4)-(J68*0.1)-K68)</f>
        <v/>
      </c>
      <c r="M68" s="10">
        <f>IF(H68="Paid","✔","")</f>
        <v/>
      </c>
    </row>
    <row r="69">
      <c r="A69" s="12" t="n"/>
      <c r="B69" s="10" t="n"/>
      <c r="C69" s="10" t="n"/>
      <c r="D69" s="10" t="n"/>
      <c r="E69" s="10" t="n"/>
      <c r="F69" s="9" t="n"/>
      <c r="G69" s="9" t="n"/>
      <c r="H69" s="10" t="n"/>
      <c r="I69" s="13" t="n"/>
      <c r="J69" s="10" t="n"/>
      <c r="K69" s="9" t="n"/>
      <c r="L69" s="9">
        <f>IF(G69="","",G69-(I69*Settings!$B$4)-(J69*0.1)-K69)</f>
        <v/>
      </c>
      <c r="M69" s="10">
        <f>IF(H69="Paid","✔","")</f>
        <v/>
      </c>
    </row>
    <row r="70">
      <c r="A70" s="12" t="n"/>
      <c r="B70" s="10" t="n"/>
      <c r="C70" s="10" t="n"/>
      <c r="D70" s="10" t="n"/>
      <c r="E70" s="10" t="n"/>
      <c r="F70" s="9" t="n"/>
      <c r="G70" s="9" t="n"/>
      <c r="H70" s="10" t="n"/>
      <c r="I70" s="13" t="n"/>
      <c r="J70" s="10" t="n"/>
      <c r="K70" s="9" t="n"/>
      <c r="L70" s="9">
        <f>IF(G70="","",G70-(I70*Settings!$B$4)-(J70*0.1)-K70)</f>
        <v/>
      </c>
      <c r="M70" s="10">
        <f>IF(H70="Paid","✔","")</f>
        <v/>
      </c>
    </row>
    <row r="71">
      <c r="A71" s="12" t="n"/>
      <c r="B71" s="10" t="n"/>
      <c r="C71" s="10" t="n"/>
      <c r="D71" s="10" t="n"/>
      <c r="E71" s="10" t="n"/>
      <c r="F71" s="9" t="n"/>
      <c r="G71" s="9" t="n"/>
      <c r="H71" s="10" t="n"/>
      <c r="I71" s="13" t="n"/>
      <c r="J71" s="10" t="n"/>
      <c r="K71" s="9" t="n"/>
      <c r="L71" s="9">
        <f>IF(G71="","",G71-(I71*Settings!$B$4)-(J71*0.1)-K71)</f>
        <v/>
      </c>
      <c r="M71" s="10">
        <f>IF(H71="Paid","✔","")</f>
        <v/>
      </c>
    </row>
    <row r="72">
      <c r="A72" s="12" t="n"/>
      <c r="B72" s="10" t="n"/>
      <c r="C72" s="10" t="n"/>
      <c r="D72" s="10" t="n"/>
      <c r="E72" s="10" t="n"/>
      <c r="F72" s="9" t="n"/>
      <c r="G72" s="9" t="n"/>
      <c r="H72" s="10" t="n"/>
      <c r="I72" s="13" t="n"/>
      <c r="J72" s="10" t="n"/>
      <c r="K72" s="9" t="n"/>
      <c r="L72" s="9">
        <f>IF(G72="","",G72-(I72*Settings!$B$4)-(J72*0.1)-K72)</f>
        <v/>
      </c>
      <c r="M72" s="10">
        <f>IF(H72="Paid","✔","")</f>
        <v/>
      </c>
    </row>
    <row r="73">
      <c r="A73" s="12" t="n"/>
      <c r="B73" s="10" t="n"/>
      <c r="C73" s="10" t="n"/>
      <c r="D73" s="10" t="n"/>
      <c r="E73" s="10" t="n"/>
      <c r="F73" s="9" t="n"/>
      <c r="G73" s="9" t="n"/>
      <c r="H73" s="10" t="n"/>
      <c r="I73" s="13" t="n"/>
      <c r="J73" s="10" t="n"/>
      <c r="K73" s="9" t="n"/>
      <c r="L73" s="9">
        <f>IF(G73="","",G73-(I73*Settings!$B$4)-(J73*0.1)-K73)</f>
        <v/>
      </c>
      <c r="M73" s="10">
        <f>IF(H73="Paid","✔","")</f>
        <v/>
      </c>
    </row>
    <row r="74">
      <c r="A74" s="12" t="n"/>
      <c r="B74" s="10" t="n"/>
      <c r="C74" s="10" t="n"/>
      <c r="D74" s="10" t="n"/>
      <c r="E74" s="10" t="n"/>
      <c r="F74" s="9" t="n"/>
      <c r="G74" s="9" t="n"/>
      <c r="H74" s="10" t="n"/>
      <c r="I74" s="13" t="n"/>
      <c r="J74" s="10" t="n"/>
      <c r="K74" s="9" t="n"/>
      <c r="L74" s="9">
        <f>IF(G74="","",G74-(I74*Settings!$B$4)-(J74*0.1)-K74)</f>
        <v/>
      </c>
      <c r="M74" s="10">
        <f>IF(H74="Paid","✔","")</f>
        <v/>
      </c>
    </row>
    <row r="75">
      <c r="A75" s="12" t="n"/>
      <c r="B75" s="10" t="n"/>
      <c r="C75" s="10" t="n"/>
      <c r="D75" s="10" t="n"/>
      <c r="E75" s="10" t="n"/>
      <c r="F75" s="9" t="n"/>
      <c r="G75" s="9" t="n"/>
      <c r="H75" s="10" t="n"/>
      <c r="I75" s="13" t="n"/>
      <c r="J75" s="10" t="n"/>
      <c r="K75" s="9" t="n"/>
      <c r="L75" s="9">
        <f>IF(G75="","",G75-(I75*Settings!$B$4)-(J75*0.1)-K75)</f>
        <v/>
      </c>
      <c r="M75" s="10">
        <f>IF(H75="Paid","✔","")</f>
        <v/>
      </c>
    </row>
    <row r="76">
      <c r="A76" s="12" t="n"/>
      <c r="B76" s="10" t="n"/>
      <c r="C76" s="10" t="n"/>
      <c r="D76" s="10" t="n"/>
      <c r="E76" s="10" t="n"/>
      <c r="F76" s="9" t="n"/>
      <c r="G76" s="9" t="n"/>
      <c r="H76" s="10" t="n"/>
      <c r="I76" s="13" t="n"/>
      <c r="J76" s="10" t="n"/>
      <c r="K76" s="9" t="n"/>
      <c r="L76" s="9">
        <f>IF(G76="","",G76-(I76*Settings!$B$4)-(J76*0.1)-K76)</f>
        <v/>
      </c>
      <c r="M76" s="10">
        <f>IF(H76="Paid","✔","")</f>
        <v/>
      </c>
    </row>
    <row r="77">
      <c r="A77" s="12" t="n"/>
      <c r="B77" s="10" t="n"/>
      <c r="C77" s="10" t="n"/>
      <c r="D77" s="10" t="n"/>
      <c r="E77" s="10" t="n"/>
      <c r="F77" s="9" t="n"/>
      <c r="G77" s="9" t="n"/>
      <c r="H77" s="10" t="n"/>
      <c r="I77" s="13" t="n"/>
      <c r="J77" s="10" t="n"/>
      <c r="K77" s="9" t="n"/>
      <c r="L77" s="9">
        <f>IF(G77="","",G77-(I77*Settings!$B$4)-(J77*0.1)-K77)</f>
        <v/>
      </c>
      <c r="M77" s="10">
        <f>IF(H77="Paid","✔","")</f>
        <v/>
      </c>
    </row>
    <row r="78">
      <c r="A78" s="12" t="n"/>
      <c r="B78" s="10" t="n"/>
      <c r="C78" s="10" t="n"/>
      <c r="D78" s="10" t="n"/>
      <c r="E78" s="10" t="n"/>
      <c r="F78" s="9" t="n"/>
      <c r="G78" s="9" t="n"/>
      <c r="H78" s="10" t="n"/>
      <c r="I78" s="13" t="n"/>
      <c r="J78" s="10" t="n"/>
      <c r="K78" s="9" t="n"/>
      <c r="L78" s="9">
        <f>IF(G78="","",G78-(I78*Settings!$B$4)-(J78*0.1)-K78)</f>
        <v/>
      </c>
      <c r="M78" s="10">
        <f>IF(H78="Paid","✔","")</f>
        <v/>
      </c>
    </row>
    <row r="79">
      <c r="A79" s="12" t="n"/>
      <c r="B79" s="10" t="n"/>
      <c r="C79" s="10" t="n"/>
      <c r="D79" s="10" t="n"/>
      <c r="E79" s="10" t="n"/>
      <c r="F79" s="9" t="n"/>
      <c r="G79" s="9" t="n"/>
      <c r="H79" s="10" t="n"/>
      <c r="I79" s="13" t="n"/>
      <c r="J79" s="10" t="n"/>
      <c r="K79" s="9" t="n"/>
      <c r="L79" s="9">
        <f>IF(G79="","",G79-(I79*Settings!$B$4)-(J79*0.1)-K79)</f>
        <v/>
      </c>
      <c r="M79" s="10">
        <f>IF(H79="Paid","✔","")</f>
        <v/>
      </c>
    </row>
    <row r="80">
      <c r="A80" s="12" t="n"/>
      <c r="B80" s="10" t="n"/>
      <c r="C80" s="10" t="n"/>
      <c r="D80" s="10" t="n"/>
      <c r="E80" s="10" t="n"/>
      <c r="F80" s="9" t="n"/>
      <c r="G80" s="9" t="n"/>
      <c r="H80" s="10" t="n"/>
      <c r="I80" s="13" t="n"/>
      <c r="J80" s="10" t="n"/>
      <c r="K80" s="9" t="n"/>
      <c r="L80" s="9">
        <f>IF(G80="","",G80-(I80*Settings!$B$4)-(J80*0.1)-K80)</f>
        <v/>
      </c>
      <c r="M80" s="10">
        <f>IF(H80="Paid","✔","")</f>
        <v/>
      </c>
    </row>
    <row r="81">
      <c r="A81" s="12" t="n"/>
      <c r="B81" s="10" t="n"/>
      <c r="C81" s="10" t="n"/>
      <c r="D81" s="10" t="n"/>
      <c r="E81" s="10" t="n"/>
      <c r="F81" s="9" t="n"/>
      <c r="G81" s="9" t="n"/>
      <c r="H81" s="10" t="n"/>
      <c r="I81" s="13" t="n"/>
      <c r="J81" s="10" t="n"/>
      <c r="K81" s="9" t="n"/>
      <c r="L81" s="9">
        <f>IF(G81="","",G81-(I81*Settings!$B$4)-(J81*0.1)-K81)</f>
        <v/>
      </c>
      <c r="M81" s="10">
        <f>IF(H81="Paid","✔","")</f>
        <v/>
      </c>
    </row>
    <row r="82">
      <c r="A82" s="12" t="n"/>
      <c r="B82" s="10" t="n"/>
      <c r="C82" s="10" t="n"/>
      <c r="D82" s="10" t="n"/>
      <c r="E82" s="10" t="n"/>
      <c r="F82" s="9" t="n"/>
      <c r="G82" s="9" t="n"/>
      <c r="H82" s="10" t="n"/>
      <c r="I82" s="13" t="n"/>
      <c r="J82" s="10" t="n"/>
      <c r="K82" s="9" t="n"/>
      <c r="L82" s="9">
        <f>IF(G82="","",G82-(I82*Settings!$B$4)-(J82*0.1)-K82)</f>
        <v/>
      </c>
      <c r="M82" s="10">
        <f>IF(H82="Paid","✔","")</f>
        <v/>
      </c>
    </row>
    <row r="83">
      <c r="A83" s="12" t="n"/>
      <c r="B83" s="10" t="n"/>
      <c r="C83" s="10" t="n"/>
      <c r="D83" s="10" t="n"/>
      <c r="E83" s="10" t="n"/>
      <c r="F83" s="9" t="n"/>
      <c r="G83" s="9" t="n"/>
      <c r="H83" s="10" t="n"/>
      <c r="I83" s="13" t="n"/>
      <c r="J83" s="10" t="n"/>
      <c r="K83" s="9" t="n"/>
      <c r="L83" s="9">
        <f>IF(G83="","",G83-(I83*Settings!$B$4)-(J83*0.1)-K83)</f>
        <v/>
      </c>
      <c r="M83" s="10">
        <f>IF(H83="Paid","✔","")</f>
        <v/>
      </c>
    </row>
    <row r="84">
      <c r="A84" s="12" t="n"/>
      <c r="B84" s="10" t="n"/>
      <c r="C84" s="10" t="n"/>
      <c r="D84" s="10" t="n"/>
      <c r="E84" s="10" t="n"/>
      <c r="F84" s="9" t="n"/>
      <c r="G84" s="9" t="n"/>
      <c r="H84" s="10" t="n"/>
      <c r="I84" s="13" t="n"/>
      <c r="J84" s="10" t="n"/>
      <c r="K84" s="9" t="n"/>
      <c r="L84" s="9">
        <f>IF(G84="","",G84-(I84*Settings!$B$4)-(J84*0.1)-K84)</f>
        <v/>
      </c>
      <c r="M84" s="10">
        <f>IF(H84="Paid","✔","")</f>
        <v/>
      </c>
    </row>
    <row r="85">
      <c r="A85" s="12" t="n"/>
      <c r="B85" s="10" t="n"/>
      <c r="C85" s="10" t="n"/>
      <c r="D85" s="10" t="n"/>
      <c r="E85" s="10" t="n"/>
      <c r="F85" s="9" t="n"/>
      <c r="G85" s="9" t="n"/>
      <c r="H85" s="10" t="n"/>
      <c r="I85" s="13" t="n"/>
      <c r="J85" s="10" t="n"/>
      <c r="K85" s="9" t="n"/>
      <c r="L85" s="9">
        <f>IF(G85="","",G85-(I85*Settings!$B$4)-(J85*0.1)-K85)</f>
        <v/>
      </c>
      <c r="M85" s="10">
        <f>IF(H85="Paid","✔","")</f>
        <v/>
      </c>
    </row>
    <row r="86">
      <c r="A86" s="12" t="n"/>
      <c r="B86" s="10" t="n"/>
      <c r="C86" s="10" t="n"/>
      <c r="D86" s="10" t="n"/>
      <c r="E86" s="10" t="n"/>
      <c r="F86" s="9" t="n"/>
      <c r="G86" s="9" t="n"/>
      <c r="H86" s="10" t="n"/>
      <c r="I86" s="13" t="n"/>
      <c r="J86" s="10" t="n"/>
      <c r="K86" s="9" t="n"/>
      <c r="L86" s="9">
        <f>IF(G86="","",G86-(I86*Settings!$B$4)-(J86*0.1)-K86)</f>
        <v/>
      </c>
      <c r="M86" s="10">
        <f>IF(H86="Paid","✔","")</f>
        <v/>
      </c>
    </row>
    <row r="87">
      <c r="A87" s="12" t="n"/>
      <c r="B87" s="10" t="n"/>
      <c r="C87" s="10" t="n"/>
      <c r="D87" s="10" t="n"/>
      <c r="E87" s="10" t="n"/>
      <c r="F87" s="9" t="n"/>
      <c r="G87" s="9" t="n"/>
      <c r="H87" s="10" t="n"/>
      <c r="I87" s="13" t="n"/>
      <c r="J87" s="10" t="n"/>
      <c r="K87" s="9" t="n"/>
      <c r="L87" s="9">
        <f>IF(G87="","",G87-(I87*Settings!$B$4)-(J87*0.1)-K87)</f>
        <v/>
      </c>
      <c r="M87" s="10">
        <f>IF(H87="Paid","✔","")</f>
        <v/>
      </c>
    </row>
    <row r="88">
      <c r="A88" s="12" t="n"/>
      <c r="B88" s="10" t="n"/>
      <c r="C88" s="10" t="n"/>
      <c r="D88" s="10" t="n"/>
      <c r="E88" s="10" t="n"/>
      <c r="F88" s="9" t="n"/>
      <c r="G88" s="9" t="n"/>
      <c r="H88" s="10" t="n"/>
      <c r="I88" s="13" t="n"/>
      <c r="J88" s="10" t="n"/>
      <c r="K88" s="9" t="n"/>
      <c r="L88" s="9">
        <f>IF(G88="","",G88-(I88*Settings!$B$4)-(J88*0.1)-K88)</f>
        <v/>
      </c>
      <c r="M88" s="10">
        <f>IF(H88="Paid","✔","")</f>
        <v/>
      </c>
    </row>
    <row r="89">
      <c r="A89" s="12" t="n"/>
      <c r="B89" s="10" t="n"/>
      <c r="C89" s="10" t="n"/>
      <c r="D89" s="10" t="n"/>
      <c r="E89" s="10" t="n"/>
      <c r="F89" s="9" t="n"/>
      <c r="G89" s="9" t="n"/>
      <c r="H89" s="10" t="n"/>
      <c r="I89" s="13" t="n"/>
      <c r="J89" s="10" t="n"/>
      <c r="K89" s="9" t="n"/>
      <c r="L89" s="9">
        <f>IF(G89="","",G89-(I89*Settings!$B$4)-(J89*0.1)-K89)</f>
        <v/>
      </c>
      <c r="M89" s="10">
        <f>IF(H89="Paid","✔","")</f>
        <v/>
      </c>
    </row>
    <row r="90">
      <c r="A90" s="12" t="n"/>
      <c r="B90" s="10" t="n"/>
      <c r="C90" s="10" t="n"/>
      <c r="D90" s="10" t="n"/>
      <c r="E90" s="10" t="n"/>
      <c r="F90" s="9" t="n"/>
      <c r="G90" s="9" t="n"/>
      <c r="H90" s="10" t="n"/>
      <c r="I90" s="13" t="n"/>
      <c r="J90" s="10" t="n"/>
      <c r="K90" s="9" t="n"/>
      <c r="L90" s="9">
        <f>IF(G90="","",G90-(I90*Settings!$B$4)-(J90*0.1)-K90)</f>
        <v/>
      </c>
      <c r="M90" s="10">
        <f>IF(H90="Paid","✔","")</f>
        <v/>
      </c>
    </row>
    <row r="91">
      <c r="A91" s="12" t="n"/>
      <c r="B91" s="10" t="n"/>
      <c r="C91" s="10" t="n"/>
      <c r="D91" s="10" t="n"/>
      <c r="E91" s="10" t="n"/>
      <c r="F91" s="9" t="n"/>
      <c r="G91" s="9" t="n"/>
      <c r="H91" s="10" t="n"/>
      <c r="I91" s="13" t="n"/>
      <c r="J91" s="10" t="n"/>
      <c r="K91" s="9" t="n"/>
      <c r="L91" s="9">
        <f>IF(G91="","",G91-(I91*Settings!$B$4)-(J91*0.1)-K91)</f>
        <v/>
      </c>
      <c r="M91" s="10">
        <f>IF(H91="Paid","✔","")</f>
        <v/>
      </c>
    </row>
    <row r="92">
      <c r="A92" s="12" t="n"/>
      <c r="B92" s="10" t="n"/>
      <c r="C92" s="10" t="n"/>
      <c r="D92" s="10" t="n"/>
      <c r="E92" s="10" t="n"/>
      <c r="F92" s="9" t="n"/>
      <c r="G92" s="9" t="n"/>
      <c r="H92" s="10" t="n"/>
      <c r="I92" s="13" t="n"/>
      <c r="J92" s="10" t="n"/>
      <c r="K92" s="9" t="n"/>
      <c r="L92" s="9">
        <f>IF(G92="","",G92-(I92*Settings!$B$4)-(J92*0.1)-K92)</f>
        <v/>
      </c>
      <c r="M92" s="10">
        <f>IF(H92="Paid","✔","")</f>
        <v/>
      </c>
    </row>
    <row r="93">
      <c r="A93" s="12" t="n"/>
      <c r="B93" s="10" t="n"/>
      <c r="C93" s="10" t="n"/>
      <c r="D93" s="10" t="n"/>
      <c r="E93" s="10" t="n"/>
      <c r="F93" s="9" t="n"/>
      <c r="G93" s="9" t="n"/>
      <c r="H93" s="10" t="n"/>
      <c r="I93" s="13" t="n"/>
      <c r="J93" s="10" t="n"/>
      <c r="K93" s="9" t="n"/>
      <c r="L93" s="9">
        <f>IF(G93="","",G93-(I93*Settings!$B$4)-(J93*0.1)-K93)</f>
        <v/>
      </c>
      <c r="M93" s="10">
        <f>IF(H93="Paid","✔","")</f>
        <v/>
      </c>
    </row>
    <row r="94">
      <c r="A94" s="12" t="n"/>
      <c r="B94" s="10" t="n"/>
      <c r="C94" s="10" t="n"/>
      <c r="D94" s="10" t="n"/>
      <c r="E94" s="10" t="n"/>
      <c r="F94" s="9" t="n"/>
      <c r="G94" s="9" t="n"/>
      <c r="H94" s="10" t="n"/>
      <c r="I94" s="13" t="n"/>
      <c r="J94" s="10" t="n"/>
      <c r="K94" s="9" t="n"/>
      <c r="L94" s="9">
        <f>IF(G94="","",G94-(I94*Settings!$B$4)-(J94*0.1)-K94)</f>
        <v/>
      </c>
      <c r="M94" s="10">
        <f>IF(H94="Paid","✔","")</f>
        <v/>
      </c>
    </row>
    <row r="95">
      <c r="A95" s="12" t="n"/>
      <c r="B95" s="10" t="n"/>
      <c r="C95" s="10" t="n"/>
      <c r="D95" s="10" t="n"/>
      <c r="E95" s="10" t="n"/>
      <c r="F95" s="9" t="n"/>
      <c r="G95" s="9" t="n"/>
      <c r="H95" s="10" t="n"/>
      <c r="I95" s="13" t="n"/>
      <c r="J95" s="10" t="n"/>
      <c r="K95" s="9" t="n"/>
      <c r="L95" s="9">
        <f>IF(G95="","",G95-(I95*Settings!$B$4)-(J95*0.1)-K95)</f>
        <v/>
      </c>
      <c r="M95" s="10">
        <f>IF(H95="Paid","✔","")</f>
        <v/>
      </c>
    </row>
    <row r="96">
      <c r="A96" s="12" t="n"/>
      <c r="B96" s="10" t="n"/>
      <c r="C96" s="10" t="n"/>
      <c r="D96" s="10" t="n"/>
      <c r="E96" s="10" t="n"/>
      <c r="F96" s="9" t="n"/>
      <c r="G96" s="9" t="n"/>
      <c r="H96" s="10" t="n"/>
      <c r="I96" s="13" t="n"/>
      <c r="J96" s="10" t="n"/>
      <c r="K96" s="9" t="n"/>
      <c r="L96" s="9">
        <f>IF(G96="","",G96-(I96*Settings!$B$4)-(J96*0.1)-K96)</f>
        <v/>
      </c>
      <c r="M96" s="10">
        <f>IF(H96="Paid","✔","")</f>
        <v/>
      </c>
    </row>
    <row r="97">
      <c r="A97" s="12" t="n"/>
      <c r="B97" s="10" t="n"/>
      <c r="C97" s="10" t="n"/>
      <c r="D97" s="10" t="n"/>
      <c r="E97" s="10" t="n"/>
      <c r="F97" s="9" t="n"/>
      <c r="G97" s="9" t="n"/>
      <c r="H97" s="10" t="n"/>
      <c r="I97" s="13" t="n"/>
      <c r="J97" s="10" t="n"/>
      <c r="K97" s="9" t="n"/>
      <c r="L97" s="9">
        <f>IF(G97="","",G97-(I97*Settings!$B$4)-(J97*0.1)-K97)</f>
        <v/>
      </c>
      <c r="M97" s="10">
        <f>IF(H97="Paid","✔","")</f>
        <v/>
      </c>
    </row>
    <row r="98">
      <c r="A98" s="12" t="n"/>
      <c r="B98" s="10" t="n"/>
      <c r="C98" s="10" t="n"/>
      <c r="D98" s="10" t="n"/>
      <c r="E98" s="10" t="n"/>
      <c r="F98" s="9" t="n"/>
      <c r="G98" s="9" t="n"/>
      <c r="H98" s="10" t="n"/>
      <c r="I98" s="13" t="n"/>
      <c r="J98" s="10" t="n"/>
      <c r="K98" s="9" t="n"/>
      <c r="L98" s="9">
        <f>IF(G98="","",G98-(I98*Settings!$B$4)-(J98*0.1)-K98)</f>
        <v/>
      </c>
      <c r="M98" s="10">
        <f>IF(H98="Paid","✔","")</f>
        <v/>
      </c>
    </row>
    <row r="99">
      <c r="A99" s="12" t="n"/>
      <c r="B99" s="10" t="n"/>
      <c r="C99" s="10" t="n"/>
      <c r="D99" s="10" t="n"/>
      <c r="E99" s="10" t="n"/>
      <c r="F99" s="9" t="n"/>
      <c r="G99" s="9" t="n"/>
      <c r="H99" s="10" t="n"/>
      <c r="I99" s="13" t="n"/>
      <c r="J99" s="10" t="n"/>
      <c r="K99" s="9" t="n"/>
      <c r="L99" s="9">
        <f>IF(G99="","",G99-(I99*Settings!$B$4)-(J99*0.1)-K99)</f>
        <v/>
      </c>
      <c r="M99" s="10">
        <f>IF(H99="Paid","✔","")</f>
        <v/>
      </c>
    </row>
    <row r="100">
      <c r="A100" s="12" t="n"/>
      <c r="B100" s="10" t="n"/>
      <c r="C100" s="10" t="n"/>
      <c r="D100" s="10" t="n"/>
      <c r="E100" s="10" t="n"/>
      <c r="F100" s="9" t="n"/>
      <c r="G100" s="9" t="n"/>
      <c r="H100" s="10" t="n"/>
      <c r="I100" s="13" t="n"/>
      <c r="J100" s="10" t="n"/>
      <c r="K100" s="9" t="n"/>
      <c r="L100" s="9">
        <f>IF(G100="","",G100-(I100*Settings!$B$4)-(J100*0.1)-K100)</f>
        <v/>
      </c>
      <c r="M100" s="10">
        <f>IF(H100="Paid","✔","")</f>
        <v/>
      </c>
    </row>
    <row r="101">
      <c r="A101" s="12" t="n"/>
      <c r="B101" s="10" t="n"/>
      <c r="C101" s="10" t="n"/>
      <c r="D101" s="10" t="n"/>
      <c r="E101" s="10" t="n"/>
      <c r="F101" s="9" t="n"/>
      <c r="G101" s="9" t="n"/>
      <c r="H101" s="10" t="n"/>
      <c r="I101" s="13" t="n"/>
      <c r="J101" s="10" t="n"/>
      <c r="K101" s="9" t="n"/>
      <c r="L101" s="9">
        <f>IF(G101="","",G101-(I101*Settings!$B$4)-(J101*0.1)-K101)</f>
        <v/>
      </c>
      <c r="M101" s="10">
        <f>IF(H101="Paid","✔","")</f>
        <v/>
      </c>
    </row>
    <row r="102">
      <c r="A102" s="12" t="n"/>
      <c r="B102" s="10" t="n"/>
      <c r="C102" s="10" t="n"/>
      <c r="D102" s="10" t="n"/>
      <c r="E102" s="10" t="n"/>
      <c r="F102" s="9" t="n"/>
      <c r="G102" s="9" t="n"/>
      <c r="H102" s="10" t="n"/>
      <c r="I102" s="13" t="n"/>
      <c r="J102" s="10" t="n"/>
      <c r="K102" s="9" t="n"/>
      <c r="L102" s="9">
        <f>IF(G102="","",G102-(I102*Settings!$B$4)-(J102*0.1)-K102)</f>
        <v/>
      </c>
      <c r="M102" s="10">
        <f>IF(H102="Paid","✔","")</f>
        <v/>
      </c>
    </row>
    <row r="103">
      <c r="A103" s="12" t="n"/>
      <c r="B103" s="10" t="n"/>
      <c r="C103" s="10" t="n"/>
      <c r="D103" s="10" t="n"/>
      <c r="E103" s="10" t="n"/>
      <c r="F103" s="9" t="n"/>
      <c r="G103" s="9" t="n"/>
      <c r="H103" s="10" t="n"/>
      <c r="I103" s="13" t="n"/>
      <c r="J103" s="10" t="n"/>
      <c r="K103" s="9" t="n"/>
      <c r="L103" s="9">
        <f>IF(G103="","",G103-(I103*Settings!$B$4)-(J103*0.1)-K103)</f>
        <v/>
      </c>
      <c r="M103" s="10">
        <f>IF(H103="Paid","✔","")</f>
        <v/>
      </c>
    </row>
    <row r="104">
      <c r="A104" s="12" t="n"/>
      <c r="B104" s="10" t="n"/>
      <c r="C104" s="10" t="n"/>
      <c r="D104" s="10" t="n"/>
      <c r="E104" s="10" t="n"/>
      <c r="F104" s="9" t="n"/>
      <c r="G104" s="9" t="n"/>
      <c r="H104" s="10" t="n"/>
      <c r="I104" s="13" t="n"/>
      <c r="J104" s="10" t="n"/>
      <c r="K104" s="9" t="n"/>
      <c r="L104" s="9">
        <f>IF(G104="","",G104-(I104*Settings!$B$4)-(J104*0.1)-K104)</f>
        <v/>
      </c>
      <c r="M104" s="10">
        <f>IF(H104="Paid","✔","")</f>
        <v/>
      </c>
    </row>
    <row r="105">
      <c r="A105" s="12" t="n"/>
      <c r="B105" s="10" t="n"/>
      <c r="C105" s="10" t="n"/>
      <c r="D105" s="10" t="n"/>
      <c r="E105" s="10" t="n"/>
      <c r="F105" s="9" t="n"/>
      <c r="G105" s="9" t="n"/>
      <c r="H105" s="10" t="n"/>
      <c r="I105" s="13" t="n"/>
      <c r="J105" s="10" t="n"/>
      <c r="K105" s="9" t="n"/>
      <c r="L105" s="9">
        <f>IF(G105="","",G105-(I105*Settings!$B$4)-(J105*0.1)-K105)</f>
        <v/>
      </c>
      <c r="M105" s="10">
        <f>IF(H105="Paid","✔","")</f>
        <v/>
      </c>
    </row>
    <row r="106">
      <c r="A106" s="12" t="n"/>
      <c r="B106" s="10" t="n"/>
      <c r="C106" s="10" t="n"/>
      <c r="D106" s="10" t="n"/>
      <c r="E106" s="10" t="n"/>
      <c r="F106" s="9" t="n"/>
      <c r="G106" s="9" t="n"/>
      <c r="H106" s="10" t="n"/>
      <c r="I106" s="13" t="n"/>
      <c r="J106" s="10" t="n"/>
      <c r="K106" s="9" t="n"/>
      <c r="L106" s="9">
        <f>IF(G106="","",G106-(I106*Settings!$B$4)-(J106*0.1)-K106)</f>
        <v/>
      </c>
      <c r="M106" s="10">
        <f>IF(H106="Paid","✔","")</f>
        <v/>
      </c>
    </row>
    <row r="107">
      <c r="A107" s="12" t="n"/>
      <c r="B107" s="10" t="n"/>
      <c r="C107" s="10" t="n"/>
      <c r="D107" s="10" t="n"/>
      <c r="E107" s="10" t="n"/>
      <c r="F107" s="9" t="n"/>
      <c r="G107" s="9" t="n"/>
      <c r="H107" s="10" t="n"/>
      <c r="I107" s="13" t="n"/>
      <c r="J107" s="10" t="n"/>
      <c r="K107" s="9" t="n"/>
      <c r="L107" s="9">
        <f>IF(G107="","",G107-(I107*Settings!$B$4)-(J107*0.1)-K107)</f>
        <v/>
      </c>
      <c r="M107" s="10">
        <f>IF(H107="Paid","✔","")</f>
        <v/>
      </c>
    </row>
    <row r="108">
      <c r="A108" s="12" t="n"/>
      <c r="B108" s="10" t="n"/>
      <c r="C108" s="10" t="n"/>
      <c r="D108" s="10" t="n"/>
      <c r="E108" s="10" t="n"/>
      <c r="F108" s="9" t="n"/>
      <c r="G108" s="9" t="n"/>
      <c r="H108" s="10" t="n"/>
      <c r="I108" s="13" t="n"/>
      <c r="J108" s="10" t="n"/>
      <c r="K108" s="9" t="n"/>
      <c r="L108" s="9">
        <f>IF(G108="","",G108-(I108*Settings!$B$4)-(J108*0.1)-K108)</f>
        <v/>
      </c>
      <c r="M108" s="10">
        <f>IF(H108="Paid","✔","")</f>
        <v/>
      </c>
    </row>
    <row r="109">
      <c r="A109" s="12" t="n"/>
      <c r="B109" s="10" t="n"/>
      <c r="C109" s="10" t="n"/>
      <c r="D109" s="10" t="n"/>
      <c r="E109" s="10" t="n"/>
      <c r="F109" s="9" t="n"/>
      <c r="G109" s="9" t="n"/>
      <c r="H109" s="10" t="n"/>
      <c r="I109" s="13" t="n"/>
      <c r="J109" s="10" t="n"/>
      <c r="K109" s="9" t="n"/>
      <c r="L109" s="9">
        <f>IF(G109="","",G109-(I109*Settings!$B$4)-(J109*0.1)-K109)</f>
        <v/>
      </c>
      <c r="M109" s="10">
        <f>IF(H109="Paid","✔","")</f>
        <v/>
      </c>
    </row>
    <row r="110">
      <c r="A110" s="12" t="n"/>
      <c r="B110" s="10" t="n"/>
      <c r="C110" s="10" t="n"/>
      <c r="D110" s="10" t="n"/>
      <c r="E110" s="10" t="n"/>
      <c r="F110" s="9" t="n"/>
      <c r="G110" s="9" t="n"/>
      <c r="H110" s="10" t="n"/>
      <c r="I110" s="13" t="n"/>
      <c r="J110" s="10" t="n"/>
      <c r="K110" s="9" t="n"/>
      <c r="L110" s="9">
        <f>IF(G110="","",G110-(I110*Settings!$B$4)-(J110*0.1)-K110)</f>
        <v/>
      </c>
      <c r="M110" s="10">
        <f>IF(H110="Paid","✔","")</f>
        <v/>
      </c>
    </row>
    <row r="111">
      <c r="A111" s="12" t="n"/>
      <c r="B111" s="10" t="n"/>
      <c r="C111" s="10" t="n"/>
      <c r="D111" s="10" t="n"/>
      <c r="E111" s="10" t="n"/>
      <c r="F111" s="9" t="n"/>
      <c r="G111" s="9" t="n"/>
      <c r="H111" s="10" t="n"/>
      <c r="I111" s="13" t="n"/>
      <c r="J111" s="10" t="n"/>
      <c r="K111" s="9" t="n"/>
      <c r="L111" s="9">
        <f>IF(G111="","",G111-(I111*Settings!$B$4)-(J111*0.1)-K111)</f>
        <v/>
      </c>
      <c r="M111" s="10">
        <f>IF(H111="Paid","✔","")</f>
        <v/>
      </c>
    </row>
    <row r="112">
      <c r="A112" s="12" t="n"/>
      <c r="B112" s="10" t="n"/>
      <c r="C112" s="10" t="n"/>
      <c r="D112" s="10" t="n"/>
      <c r="E112" s="10" t="n"/>
      <c r="F112" s="9" t="n"/>
      <c r="G112" s="9" t="n"/>
      <c r="H112" s="10" t="n"/>
      <c r="I112" s="13" t="n"/>
      <c r="J112" s="10" t="n"/>
      <c r="K112" s="9" t="n"/>
      <c r="L112" s="9">
        <f>IF(G112="","",G112-(I112*Settings!$B$4)-(J112*0.1)-K112)</f>
        <v/>
      </c>
      <c r="M112" s="10">
        <f>IF(H112="Paid","✔","")</f>
        <v/>
      </c>
    </row>
    <row r="113">
      <c r="A113" s="12" t="n"/>
      <c r="B113" s="10" t="n"/>
      <c r="C113" s="10" t="n"/>
      <c r="D113" s="10" t="n"/>
      <c r="E113" s="10" t="n"/>
      <c r="F113" s="9" t="n"/>
      <c r="G113" s="9" t="n"/>
      <c r="H113" s="10" t="n"/>
      <c r="I113" s="13" t="n"/>
      <c r="J113" s="10" t="n"/>
      <c r="K113" s="9" t="n"/>
      <c r="L113" s="9">
        <f>IF(G113="","",G113-(I113*Settings!$B$4)-(J113*0.1)-K113)</f>
        <v/>
      </c>
      <c r="M113" s="10">
        <f>IF(H113="Paid","✔","")</f>
        <v/>
      </c>
    </row>
    <row r="114">
      <c r="A114" s="12" t="n"/>
      <c r="B114" s="10" t="n"/>
      <c r="C114" s="10" t="n"/>
      <c r="D114" s="10" t="n"/>
      <c r="E114" s="10" t="n"/>
      <c r="F114" s="9" t="n"/>
      <c r="G114" s="9" t="n"/>
      <c r="H114" s="10" t="n"/>
      <c r="I114" s="13" t="n"/>
      <c r="J114" s="10" t="n"/>
      <c r="K114" s="9" t="n"/>
      <c r="L114" s="9">
        <f>IF(G114="","",G114-(I114*Settings!$B$4)-(J114*0.1)-K114)</f>
        <v/>
      </c>
      <c r="M114" s="10">
        <f>IF(H114="Paid","✔","")</f>
        <v/>
      </c>
    </row>
    <row r="115">
      <c r="A115" s="12" t="n"/>
      <c r="B115" s="10" t="n"/>
      <c r="C115" s="10" t="n"/>
      <c r="D115" s="10" t="n"/>
      <c r="E115" s="10" t="n"/>
      <c r="F115" s="9" t="n"/>
      <c r="G115" s="9" t="n"/>
      <c r="H115" s="10" t="n"/>
      <c r="I115" s="13" t="n"/>
      <c r="J115" s="10" t="n"/>
      <c r="K115" s="9" t="n"/>
      <c r="L115" s="9">
        <f>IF(G115="","",G115-(I115*Settings!$B$4)-(J115*0.1)-K115)</f>
        <v/>
      </c>
      <c r="M115" s="10">
        <f>IF(H115="Paid","✔","")</f>
        <v/>
      </c>
    </row>
    <row r="116">
      <c r="A116" s="12" t="n"/>
      <c r="B116" s="10" t="n"/>
      <c r="C116" s="10" t="n"/>
      <c r="D116" s="10" t="n"/>
      <c r="E116" s="10" t="n"/>
      <c r="F116" s="9" t="n"/>
      <c r="G116" s="9" t="n"/>
      <c r="H116" s="10" t="n"/>
      <c r="I116" s="13" t="n"/>
      <c r="J116" s="10" t="n"/>
      <c r="K116" s="9" t="n"/>
      <c r="L116" s="9">
        <f>IF(G116="","",G116-(I116*Settings!$B$4)-(J116*0.1)-K116)</f>
        <v/>
      </c>
      <c r="M116" s="10">
        <f>IF(H116="Paid","✔","")</f>
        <v/>
      </c>
    </row>
    <row r="117">
      <c r="A117" s="12" t="n"/>
      <c r="B117" s="10" t="n"/>
      <c r="C117" s="10" t="n"/>
      <c r="D117" s="10" t="n"/>
      <c r="E117" s="10" t="n"/>
      <c r="F117" s="9" t="n"/>
      <c r="G117" s="9" t="n"/>
      <c r="H117" s="10" t="n"/>
      <c r="I117" s="13" t="n"/>
      <c r="J117" s="10" t="n"/>
      <c r="K117" s="9" t="n"/>
      <c r="L117" s="9">
        <f>IF(G117="","",G117-(I117*Settings!$B$4)-(J117*0.1)-K117)</f>
        <v/>
      </c>
      <c r="M117" s="10">
        <f>IF(H117="Paid","✔","")</f>
        <v/>
      </c>
    </row>
    <row r="118">
      <c r="A118" s="12" t="n"/>
      <c r="B118" s="10" t="n"/>
      <c r="C118" s="10" t="n"/>
      <c r="D118" s="10" t="n"/>
      <c r="E118" s="10" t="n"/>
      <c r="F118" s="9" t="n"/>
      <c r="G118" s="9" t="n"/>
      <c r="H118" s="10" t="n"/>
      <c r="I118" s="13" t="n"/>
      <c r="J118" s="10" t="n"/>
      <c r="K118" s="9" t="n"/>
      <c r="L118" s="9">
        <f>IF(G118="","",G118-(I118*Settings!$B$4)-(J118*0.1)-K118)</f>
        <v/>
      </c>
      <c r="M118" s="10">
        <f>IF(H118="Paid","✔","")</f>
        <v/>
      </c>
    </row>
    <row r="119">
      <c r="A119" s="12" t="n"/>
      <c r="B119" s="10" t="n"/>
      <c r="C119" s="10" t="n"/>
      <c r="D119" s="10" t="n"/>
      <c r="E119" s="10" t="n"/>
      <c r="F119" s="9" t="n"/>
      <c r="G119" s="9" t="n"/>
      <c r="H119" s="10" t="n"/>
      <c r="I119" s="13" t="n"/>
      <c r="J119" s="10" t="n"/>
      <c r="K119" s="9" t="n"/>
      <c r="L119" s="9">
        <f>IF(G119="","",G119-(I119*Settings!$B$4)-(J119*0.1)-K119)</f>
        <v/>
      </c>
      <c r="M119" s="10">
        <f>IF(H119="Paid","✔","")</f>
        <v/>
      </c>
    </row>
    <row r="120">
      <c r="A120" s="12" t="n"/>
      <c r="B120" s="10" t="n"/>
      <c r="C120" s="10" t="n"/>
      <c r="D120" s="10" t="n"/>
      <c r="E120" s="10" t="n"/>
      <c r="F120" s="9" t="n"/>
      <c r="G120" s="9" t="n"/>
      <c r="H120" s="10" t="n"/>
      <c r="I120" s="13" t="n"/>
      <c r="J120" s="10" t="n"/>
      <c r="K120" s="9" t="n"/>
      <c r="L120" s="9">
        <f>IF(G120="","",G120-(I120*Settings!$B$4)-(J120*0.1)-K120)</f>
        <v/>
      </c>
      <c r="M120" s="10">
        <f>IF(H120="Paid","✔","")</f>
        <v/>
      </c>
    </row>
    <row r="121">
      <c r="A121" s="12" t="n"/>
      <c r="B121" s="10" t="n"/>
      <c r="C121" s="10" t="n"/>
      <c r="D121" s="10" t="n"/>
      <c r="E121" s="10" t="n"/>
      <c r="F121" s="9" t="n"/>
      <c r="G121" s="9" t="n"/>
      <c r="H121" s="10" t="n"/>
      <c r="I121" s="13" t="n"/>
      <c r="J121" s="10" t="n"/>
      <c r="K121" s="9" t="n"/>
      <c r="L121" s="9">
        <f>IF(G121="","",G121-(I121*Settings!$B$4)-(J121*0.1)-K121)</f>
        <v/>
      </c>
      <c r="M121" s="10">
        <f>IF(H121="Paid","✔","")</f>
        <v/>
      </c>
    </row>
    <row r="122">
      <c r="A122" s="12" t="n"/>
      <c r="B122" s="10" t="n"/>
      <c r="C122" s="10" t="n"/>
      <c r="D122" s="10" t="n"/>
      <c r="E122" s="10" t="n"/>
      <c r="F122" s="9" t="n"/>
      <c r="G122" s="9" t="n"/>
      <c r="H122" s="10" t="n"/>
      <c r="I122" s="13" t="n"/>
      <c r="J122" s="10" t="n"/>
      <c r="K122" s="9" t="n"/>
      <c r="L122" s="9">
        <f>IF(G122="","",G122-(I122*Settings!$B$4)-(J122*0.1)-K122)</f>
        <v/>
      </c>
      <c r="M122" s="10">
        <f>IF(H122="Paid","✔","")</f>
        <v/>
      </c>
    </row>
    <row r="123">
      <c r="A123" s="12" t="n"/>
      <c r="B123" s="10" t="n"/>
      <c r="C123" s="10" t="n"/>
      <c r="D123" s="10" t="n"/>
      <c r="E123" s="10" t="n"/>
      <c r="F123" s="9" t="n"/>
      <c r="G123" s="9" t="n"/>
      <c r="H123" s="10" t="n"/>
      <c r="I123" s="13" t="n"/>
      <c r="J123" s="10" t="n"/>
      <c r="K123" s="9" t="n"/>
      <c r="L123" s="9">
        <f>IF(G123="","",G123-(I123*Settings!$B$4)-(J123*0.1)-K123)</f>
        <v/>
      </c>
      <c r="M123" s="10">
        <f>IF(H123="Paid","✔","")</f>
        <v/>
      </c>
    </row>
    <row r="124">
      <c r="A124" s="12" t="n"/>
      <c r="B124" s="10" t="n"/>
      <c r="C124" s="10" t="n"/>
      <c r="D124" s="10" t="n"/>
      <c r="E124" s="10" t="n"/>
      <c r="F124" s="9" t="n"/>
      <c r="G124" s="9" t="n"/>
      <c r="H124" s="10" t="n"/>
      <c r="I124" s="13" t="n"/>
      <c r="J124" s="10" t="n"/>
      <c r="K124" s="9" t="n"/>
      <c r="L124" s="9">
        <f>IF(G124="","",G124-(I124*Settings!$B$4)-(J124*0.1)-K124)</f>
        <v/>
      </c>
      <c r="M124" s="10">
        <f>IF(H124="Paid","✔","")</f>
        <v/>
      </c>
    </row>
    <row r="125">
      <c r="A125" s="12" t="n"/>
      <c r="B125" s="10" t="n"/>
      <c r="C125" s="10" t="n"/>
      <c r="D125" s="10" t="n"/>
      <c r="E125" s="10" t="n"/>
      <c r="F125" s="9" t="n"/>
      <c r="G125" s="9" t="n"/>
      <c r="H125" s="10" t="n"/>
      <c r="I125" s="13" t="n"/>
      <c r="J125" s="10" t="n"/>
      <c r="K125" s="9" t="n"/>
      <c r="L125" s="9">
        <f>IF(G125="","",G125-(I125*Settings!$B$4)-(J125*0.1)-K125)</f>
        <v/>
      </c>
      <c r="M125" s="10">
        <f>IF(H125="Paid","✔","")</f>
        <v/>
      </c>
    </row>
    <row r="126">
      <c r="A126" s="12" t="n"/>
      <c r="B126" s="10" t="n"/>
      <c r="C126" s="10" t="n"/>
      <c r="D126" s="10" t="n"/>
      <c r="E126" s="10" t="n"/>
      <c r="F126" s="9" t="n"/>
      <c r="G126" s="9" t="n"/>
      <c r="H126" s="10" t="n"/>
      <c r="I126" s="13" t="n"/>
      <c r="J126" s="10" t="n"/>
      <c r="K126" s="9" t="n"/>
      <c r="L126" s="9">
        <f>IF(G126="","",G126-(I126*Settings!$B$4)-(J126*0.1)-K126)</f>
        <v/>
      </c>
      <c r="M126" s="10">
        <f>IF(H126="Paid","✔","")</f>
        <v/>
      </c>
    </row>
    <row r="127">
      <c r="A127" s="12" t="n"/>
      <c r="B127" s="10" t="n"/>
      <c r="C127" s="10" t="n"/>
      <c r="D127" s="10" t="n"/>
      <c r="E127" s="10" t="n"/>
      <c r="F127" s="9" t="n"/>
      <c r="G127" s="9" t="n"/>
      <c r="H127" s="10" t="n"/>
      <c r="I127" s="13" t="n"/>
      <c r="J127" s="10" t="n"/>
      <c r="K127" s="9" t="n"/>
      <c r="L127" s="9">
        <f>IF(G127="","",G127-(I127*Settings!$B$4)-(J127*0.1)-K127)</f>
        <v/>
      </c>
      <c r="M127" s="10">
        <f>IF(H127="Paid","✔","")</f>
        <v/>
      </c>
    </row>
    <row r="128">
      <c r="A128" s="12" t="n"/>
      <c r="B128" s="10" t="n"/>
      <c r="C128" s="10" t="n"/>
      <c r="D128" s="10" t="n"/>
      <c r="E128" s="10" t="n"/>
      <c r="F128" s="9" t="n"/>
      <c r="G128" s="9" t="n"/>
      <c r="H128" s="10" t="n"/>
      <c r="I128" s="13" t="n"/>
      <c r="J128" s="10" t="n"/>
      <c r="K128" s="9" t="n"/>
      <c r="L128" s="9">
        <f>IF(G128="","",G128-(I128*Settings!$B$4)-(J128*0.1)-K128)</f>
        <v/>
      </c>
      <c r="M128" s="10">
        <f>IF(H128="Paid","✔","")</f>
        <v/>
      </c>
    </row>
    <row r="129">
      <c r="A129" s="12" t="n"/>
      <c r="B129" s="10" t="n"/>
      <c r="C129" s="10" t="n"/>
      <c r="D129" s="10" t="n"/>
      <c r="E129" s="10" t="n"/>
      <c r="F129" s="9" t="n"/>
      <c r="G129" s="9" t="n"/>
      <c r="H129" s="10" t="n"/>
      <c r="I129" s="13" t="n"/>
      <c r="J129" s="10" t="n"/>
      <c r="K129" s="9" t="n"/>
      <c r="L129" s="9">
        <f>IF(G129="","",G129-(I129*Settings!$B$4)-(J129*0.1)-K129)</f>
        <v/>
      </c>
      <c r="M129" s="10">
        <f>IF(H129="Paid","✔","")</f>
        <v/>
      </c>
    </row>
    <row r="130">
      <c r="A130" s="12" t="n"/>
      <c r="B130" s="10" t="n"/>
      <c r="C130" s="10" t="n"/>
      <c r="D130" s="10" t="n"/>
      <c r="E130" s="10" t="n"/>
      <c r="F130" s="9" t="n"/>
      <c r="G130" s="9" t="n"/>
      <c r="H130" s="10" t="n"/>
      <c r="I130" s="13" t="n"/>
      <c r="J130" s="10" t="n"/>
      <c r="K130" s="9" t="n"/>
      <c r="L130" s="9">
        <f>IF(G130="","",G130-(I130*Settings!$B$4)-(J130*0.1)-K130)</f>
        <v/>
      </c>
      <c r="M130" s="10">
        <f>IF(H130="Paid","✔","")</f>
        <v/>
      </c>
    </row>
    <row r="131">
      <c r="A131" s="12" t="n"/>
      <c r="B131" s="10" t="n"/>
      <c r="C131" s="10" t="n"/>
      <c r="D131" s="10" t="n"/>
      <c r="E131" s="10" t="n"/>
      <c r="F131" s="9" t="n"/>
      <c r="G131" s="9" t="n"/>
      <c r="H131" s="10" t="n"/>
      <c r="I131" s="13" t="n"/>
      <c r="J131" s="10" t="n"/>
      <c r="K131" s="9" t="n"/>
      <c r="L131" s="9">
        <f>IF(G131="","",G131-(I131*Settings!$B$4)-(J131*0.1)-K131)</f>
        <v/>
      </c>
      <c r="M131" s="10">
        <f>IF(H131="Paid","✔","")</f>
        <v/>
      </c>
    </row>
    <row r="132">
      <c r="A132" s="12" t="n"/>
      <c r="B132" s="10" t="n"/>
      <c r="C132" s="10" t="n"/>
      <c r="D132" s="10" t="n"/>
      <c r="E132" s="10" t="n"/>
      <c r="F132" s="9" t="n"/>
      <c r="G132" s="9" t="n"/>
      <c r="H132" s="10" t="n"/>
      <c r="I132" s="13" t="n"/>
      <c r="J132" s="10" t="n"/>
      <c r="K132" s="9" t="n"/>
      <c r="L132" s="9">
        <f>IF(G132="","",G132-(I132*Settings!$B$4)-(J132*0.1)-K132)</f>
        <v/>
      </c>
      <c r="M132" s="10">
        <f>IF(H132="Paid","✔","")</f>
        <v/>
      </c>
    </row>
    <row r="133">
      <c r="A133" s="12" t="n"/>
      <c r="B133" s="10" t="n"/>
      <c r="C133" s="10" t="n"/>
      <c r="D133" s="10" t="n"/>
      <c r="E133" s="10" t="n"/>
      <c r="F133" s="9" t="n"/>
      <c r="G133" s="9" t="n"/>
      <c r="H133" s="10" t="n"/>
      <c r="I133" s="13" t="n"/>
      <c r="J133" s="10" t="n"/>
      <c r="K133" s="9" t="n"/>
      <c r="L133" s="9">
        <f>IF(G133="","",G133-(I133*Settings!$B$4)-(J133*0.1)-K133)</f>
        <v/>
      </c>
      <c r="M133" s="10">
        <f>IF(H133="Paid","✔","")</f>
        <v/>
      </c>
    </row>
    <row r="134">
      <c r="A134" s="12" t="n"/>
      <c r="B134" s="10" t="n"/>
      <c r="C134" s="10" t="n"/>
      <c r="D134" s="10" t="n"/>
      <c r="E134" s="10" t="n"/>
      <c r="F134" s="9" t="n"/>
      <c r="G134" s="9" t="n"/>
      <c r="H134" s="10" t="n"/>
      <c r="I134" s="13" t="n"/>
      <c r="J134" s="10" t="n"/>
      <c r="K134" s="9" t="n"/>
      <c r="L134" s="9">
        <f>IF(G134="","",G134-(I134*Settings!$B$4)-(J134*0.1)-K134)</f>
        <v/>
      </c>
      <c r="M134" s="10">
        <f>IF(H134="Paid","✔","")</f>
        <v/>
      </c>
    </row>
    <row r="135">
      <c r="A135" s="12" t="n"/>
      <c r="B135" s="10" t="n"/>
      <c r="C135" s="10" t="n"/>
      <c r="D135" s="10" t="n"/>
      <c r="E135" s="10" t="n"/>
      <c r="F135" s="9" t="n"/>
      <c r="G135" s="9" t="n"/>
      <c r="H135" s="10" t="n"/>
      <c r="I135" s="13" t="n"/>
      <c r="J135" s="10" t="n"/>
      <c r="K135" s="9" t="n"/>
      <c r="L135" s="9">
        <f>IF(G135="","",G135-(I135*Settings!$B$4)-(J135*0.1)-K135)</f>
        <v/>
      </c>
      <c r="M135" s="10">
        <f>IF(H135="Paid","✔","")</f>
        <v/>
      </c>
    </row>
    <row r="136">
      <c r="A136" s="12" t="n"/>
      <c r="B136" s="10" t="n"/>
      <c r="C136" s="10" t="n"/>
      <c r="D136" s="10" t="n"/>
      <c r="E136" s="10" t="n"/>
      <c r="F136" s="9" t="n"/>
      <c r="G136" s="9" t="n"/>
      <c r="H136" s="10" t="n"/>
      <c r="I136" s="13" t="n"/>
      <c r="J136" s="10" t="n"/>
      <c r="K136" s="9" t="n"/>
      <c r="L136" s="9">
        <f>IF(G136="","",G136-(I136*Settings!$B$4)-(J136*0.1)-K136)</f>
        <v/>
      </c>
      <c r="M136" s="10">
        <f>IF(H136="Paid","✔","")</f>
        <v/>
      </c>
    </row>
    <row r="137">
      <c r="A137" s="12" t="n"/>
      <c r="B137" s="10" t="n"/>
      <c r="C137" s="10" t="n"/>
      <c r="D137" s="10" t="n"/>
      <c r="E137" s="10" t="n"/>
      <c r="F137" s="9" t="n"/>
      <c r="G137" s="9" t="n"/>
      <c r="H137" s="10" t="n"/>
      <c r="I137" s="13" t="n"/>
      <c r="J137" s="10" t="n"/>
      <c r="K137" s="9" t="n"/>
      <c r="L137" s="9">
        <f>IF(G137="","",G137-(I137*Settings!$B$4)-(J137*0.1)-K137)</f>
        <v/>
      </c>
      <c r="M137" s="10">
        <f>IF(H137="Paid","✔","")</f>
        <v/>
      </c>
    </row>
    <row r="138">
      <c r="A138" s="12" t="n"/>
      <c r="B138" s="10" t="n"/>
      <c r="C138" s="10" t="n"/>
      <c r="D138" s="10" t="n"/>
      <c r="E138" s="10" t="n"/>
      <c r="F138" s="9" t="n"/>
      <c r="G138" s="9" t="n"/>
      <c r="H138" s="10" t="n"/>
      <c r="I138" s="13" t="n"/>
      <c r="J138" s="10" t="n"/>
      <c r="K138" s="9" t="n"/>
      <c r="L138" s="9">
        <f>IF(G138="","",G138-(I138*Settings!$B$4)-(J138*0.1)-K138)</f>
        <v/>
      </c>
      <c r="M138" s="10">
        <f>IF(H138="Paid","✔","")</f>
        <v/>
      </c>
    </row>
    <row r="139">
      <c r="A139" s="12" t="n"/>
      <c r="B139" s="10" t="n"/>
      <c r="C139" s="10" t="n"/>
      <c r="D139" s="10" t="n"/>
      <c r="E139" s="10" t="n"/>
      <c r="F139" s="9" t="n"/>
      <c r="G139" s="9" t="n"/>
      <c r="H139" s="10" t="n"/>
      <c r="I139" s="13" t="n"/>
      <c r="J139" s="10" t="n"/>
      <c r="K139" s="9" t="n"/>
      <c r="L139" s="9">
        <f>IF(G139="","",G139-(I139*Settings!$B$4)-(J139*0.1)-K139)</f>
        <v/>
      </c>
      <c r="M139" s="10">
        <f>IF(H139="Paid","✔","")</f>
        <v/>
      </c>
    </row>
    <row r="140">
      <c r="A140" s="12" t="n"/>
      <c r="B140" s="10" t="n"/>
      <c r="C140" s="10" t="n"/>
      <c r="D140" s="10" t="n"/>
      <c r="E140" s="10" t="n"/>
      <c r="F140" s="9" t="n"/>
      <c r="G140" s="9" t="n"/>
      <c r="H140" s="10" t="n"/>
      <c r="I140" s="13" t="n"/>
      <c r="J140" s="10" t="n"/>
      <c r="K140" s="9" t="n"/>
      <c r="L140" s="9">
        <f>IF(G140="","",G140-(I140*Settings!$B$4)-(J140*0.1)-K140)</f>
        <v/>
      </c>
      <c r="M140" s="10">
        <f>IF(H140="Paid","✔","")</f>
        <v/>
      </c>
    </row>
    <row r="141">
      <c r="A141" s="12" t="n"/>
      <c r="B141" s="10" t="n"/>
      <c r="C141" s="10" t="n"/>
      <c r="D141" s="10" t="n"/>
      <c r="E141" s="10" t="n"/>
      <c r="F141" s="9" t="n"/>
      <c r="G141" s="9" t="n"/>
      <c r="H141" s="10" t="n"/>
      <c r="I141" s="13" t="n"/>
      <c r="J141" s="10" t="n"/>
      <c r="K141" s="9" t="n"/>
      <c r="L141" s="9">
        <f>IF(G141="","",G141-(I141*Settings!$B$4)-(J141*0.1)-K141)</f>
        <v/>
      </c>
      <c r="M141" s="10">
        <f>IF(H141="Paid","✔","")</f>
        <v/>
      </c>
    </row>
    <row r="142">
      <c r="A142" s="12" t="n"/>
      <c r="B142" s="10" t="n"/>
      <c r="C142" s="10" t="n"/>
      <c r="D142" s="10" t="n"/>
      <c r="E142" s="10" t="n"/>
      <c r="F142" s="9" t="n"/>
      <c r="G142" s="9" t="n"/>
      <c r="H142" s="10" t="n"/>
      <c r="I142" s="13" t="n"/>
      <c r="J142" s="10" t="n"/>
      <c r="K142" s="9" t="n"/>
      <c r="L142" s="9">
        <f>IF(G142="","",G142-(I142*Settings!$B$4)-(J142*0.1)-K142)</f>
        <v/>
      </c>
      <c r="M142" s="10">
        <f>IF(H142="Paid","✔","")</f>
        <v/>
      </c>
    </row>
    <row r="143">
      <c r="A143" s="12" t="n"/>
      <c r="B143" s="10" t="n"/>
      <c r="C143" s="10" t="n"/>
      <c r="D143" s="10" t="n"/>
      <c r="E143" s="10" t="n"/>
      <c r="F143" s="9" t="n"/>
      <c r="G143" s="9" t="n"/>
      <c r="H143" s="10" t="n"/>
      <c r="I143" s="13" t="n"/>
      <c r="J143" s="10" t="n"/>
      <c r="K143" s="9" t="n"/>
      <c r="L143" s="9">
        <f>IF(G143="","",G143-(I143*Settings!$B$4)-(J143*0.1)-K143)</f>
        <v/>
      </c>
      <c r="M143" s="10">
        <f>IF(H143="Paid","✔","")</f>
        <v/>
      </c>
    </row>
    <row r="144">
      <c r="A144" s="12" t="n"/>
      <c r="B144" s="10" t="n"/>
      <c r="C144" s="10" t="n"/>
      <c r="D144" s="10" t="n"/>
      <c r="E144" s="10" t="n"/>
      <c r="F144" s="9" t="n"/>
      <c r="G144" s="9" t="n"/>
      <c r="H144" s="10" t="n"/>
      <c r="I144" s="13" t="n"/>
      <c r="J144" s="10" t="n"/>
      <c r="K144" s="9" t="n"/>
      <c r="L144" s="9">
        <f>IF(G144="","",G144-(I144*Settings!$B$4)-(J144*0.1)-K144)</f>
        <v/>
      </c>
      <c r="M144" s="10">
        <f>IF(H144="Paid","✔","")</f>
        <v/>
      </c>
    </row>
    <row r="145">
      <c r="A145" s="12" t="n"/>
      <c r="B145" s="10" t="n"/>
      <c r="C145" s="10" t="n"/>
      <c r="D145" s="10" t="n"/>
      <c r="E145" s="10" t="n"/>
      <c r="F145" s="9" t="n"/>
      <c r="G145" s="9" t="n"/>
      <c r="H145" s="10" t="n"/>
      <c r="I145" s="13" t="n"/>
      <c r="J145" s="10" t="n"/>
      <c r="K145" s="9" t="n"/>
      <c r="L145" s="9">
        <f>IF(G145="","",G145-(I145*Settings!$B$4)-(J145*0.1)-K145)</f>
        <v/>
      </c>
      <c r="M145" s="10">
        <f>IF(H145="Paid","✔","")</f>
        <v/>
      </c>
    </row>
    <row r="146">
      <c r="A146" s="12" t="n"/>
      <c r="B146" s="10" t="n"/>
      <c r="C146" s="10" t="n"/>
      <c r="D146" s="10" t="n"/>
      <c r="E146" s="10" t="n"/>
      <c r="F146" s="9" t="n"/>
      <c r="G146" s="9" t="n"/>
      <c r="H146" s="10" t="n"/>
      <c r="I146" s="13" t="n"/>
      <c r="J146" s="10" t="n"/>
      <c r="K146" s="9" t="n"/>
      <c r="L146" s="9">
        <f>IF(G146="","",G146-(I146*Settings!$B$4)-(J146*0.1)-K146)</f>
        <v/>
      </c>
      <c r="M146" s="10">
        <f>IF(H146="Paid","✔","")</f>
        <v/>
      </c>
    </row>
    <row r="147">
      <c r="A147" s="12" t="n"/>
      <c r="B147" s="10" t="n"/>
      <c r="C147" s="10" t="n"/>
      <c r="D147" s="10" t="n"/>
      <c r="E147" s="10" t="n"/>
      <c r="F147" s="9" t="n"/>
      <c r="G147" s="9" t="n"/>
      <c r="H147" s="10" t="n"/>
      <c r="I147" s="13" t="n"/>
      <c r="J147" s="10" t="n"/>
      <c r="K147" s="9" t="n"/>
      <c r="L147" s="9">
        <f>IF(G147="","",G147-(I147*Settings!$B$4)-(J147*0.1)-K147)</f>
        <v/>
      </c>
      <c r="M147" s="10">
        <f>IF(H147="Paid","✔","")</f>
        <v/>
      </c>
    </row>
    <row r="148">
      <c r="A148" s="12" t="n"/>
      <c r="B148" s="10" t="n"/>
      <c r="C148" s="10" t="n"/>
      <c r="D148" s="10" t="n"/>
      <c r="E148" s="10" t="n"/>
      <c r="F148" s="9" t="n"/>
      <c r="G148" s="9" t="n"/>
      <c r="H148" s="10" t="n"/>
      <c r="I148" s="13" t="n"/>
      <c r="J148" s="10" t="n"/>
      <c r="K148" s="9" t="n"/>
      <c r="L148" s="9">
        <f>IF(G148="","",G148-(I148*Settings!$B$4)-(J148*0.1)-K148)</f>
        <v/>
      </c>
      <c r="M148" s="10">
        <f>IF(H148="Paid","✔","")</f>
        <v/>
      </c>
    </row>
    <row r="149">
      <c r="A149" s="12" t="n"/>
      <c r="B149" s="10" t="n"/>
      <c r="C149" s="10" t="n"/>
      <c r="D149" s="10" t="n"/>
      <c r="E149" s="10" t="n"/>
      <c r="F149" s="9" t="n"/>
      <c r="G149" s="9" t="n"/>
      <c r="H149" s="10" t="n"/>
      <c r="I149" s="13" t="n"/>
      <c r="J149" s="10" t="n"/>
      <c r="K149" s="9" t="n"/>
      <c r="L149" s="9">
        <f>IF(G149="","",G149-(I149*Settings!$B$4)-(J149*0.1)-K149)</f>
        <v/>
      </c>
      <c r="M149" s="10">
        <f>IF(H149="Paid","✔","")</f>
        <v/>
      </c>
    </row>
    <row r="150">
      <c r="A150" s="12" t="n"/>
      <c r="B150" s="10" t="n"/>
      <c r="C150" s="10" t="n"/>
      <c r="D150" s="10" t="n"/>
      <c r="E150" s="10" t="n"/>
      <c r="F150" s="9" t="n"/>
      <c r="G150" s="9" t="n"/>
      <c r="H150" s="10" t="n"/>
      <c r="I150" s="13" t="n"/>
      <c r="J150" s="10" t="n"/>
      <c r="K150" s="9" t="n"/>
      <c r="L150" s="9">
        <f>IF(G150="","",G150-(I150*Settings!$B$4)-(J150*0.1)-K150)</f>
        <v/>
      </c>
      <c r="M150" s="10">
        <f>IF(H150="Paid","✔","")</f>
        <v/>
      </c>
    </row>
    <row r="151">
      <c r="A151" s="12" t="n"/>
      <c r="B151" s="10" t="n"/>
      <c r="C151" s="10" t="n"/>
      <c r="D151" s="10" t="n"/>
      <c r="E151" s="10" t="n"/>
      <c r="F151" s="9" t="n"/>
      <c r="G151" s="9" t="n"/>
      <c r="H151" s="10" t="n"/>
      <c r="I151" s="13" t="n"/>
      <c r="J151" s="10" t="n"/>
      <c r="K151" s="9" t="n"/>
      <c r="L151" s="9">
        <f>IF(G151="","",G151-(I151*Settings!$B$4)-(J151*0.1)-K151)</f>
        <v/>
      </c>
      <c r="M151" s="10">
        <f>IF(H151="Paid","✔","")</f>
        <v/>
      </c>
    </row>
    <row r="152">
      <c r="A152" s="12" t="n"/>
      <c r="B152" s="10" t="n"/>
      <c r="C152" s="10" t="n"/>
      <c r="D152" s="10" t="n"/>
      <c r="E152" s="10" t="n"/>
      <c r="F152" s="9" t="n"/>
      <c r="G152" s="9" t="n"/>
      <c r="H152" s="10" t="n"/>
      <c r="I152" s="13" t="n"/>
      <c r="J152" s="10" t="n"/>
      <c r="K152" s="9" t="n"/>
      <c r="L152" s="9">
        <f>IF(G152="","",G152-(I152*Settings!$B$4)-(J152*0.1)-K152)</f>
        <v/>
      </c>
      <c r="M152" s="10">
        <f>IF(H152="Paid","✔","")</f>
        <v/>
      </c>
    </row>
    <row r="153">
      <c r="A153" s="12" t="n"/>
      <c r="B153" s="10" t="n"/>
      <c r="C153" s="10" t="n"/>
      <c r="D153" s="10" t="n"/>
      <c r="E153" s="10" t="n"/>
      <c r="F153" s="9" t="n"/>
      <c r="G153" s="9" t="n"/>
      <c r="H153" s="10" t="n"/>
      <c r="I153" s="13" t="n"/>
      <c r="J153" s="10" t="n"/>
      <c r="K153" s="9" t="n"/>
      <c r="L153" s="9">
        <f>IF(G153="","",G153-(I153*Settings!$B$4)-(J153*0.1)-K153)</f>
        <v/>
      </c>
      <c r="M153" s="10">
        <f>IF(H153="Paid","✔","")</f>
        <v/>
      </c>
    </row>
    <row r="154">
      <c r="A154" s="12" t="n"/>
      <c r="B154" s="10" t="n"/>
      <c r="C154" s="10" t="n"/>
      <c r="D154" s="10" t="n"/>
      <c r="E154" s="10" t="n"/>
      <c r="F154" s="9" t="n"/>
      <c r="G154" s="9" t="n"/>
      <c r="H154" s="10" t="n"/>
      <c r="I154" s="13" t="n"/>
      <c r="J154" s="10" t="n"/>
      <c r="K154" s="9" t="n"/>
      <c r="L154" s="9">
        <f>IF(G154="","",G154-(I154*Settings!$B$4)-(J154*0.1)-K154)</f>
        <v/>
      </c>
      <c r="M154" s="10">
        <f>IF(H154="Paid","✔","")</f>
        <v/>
      </c>
    </row>
    <row r="155">
      <c r="A155" s="12" t="n"/>
      <c r="B155" s="10" t="n"/>
      <c r="C155" s="10" t="n"/>
      <c r="D155" s="10" t="n"/>
      <c r="E155" s="10" t="n"/>
      <c r="F155" s="9" t="n"/>
      <c r="G155" s="9" t="n"/>
      <c r="H155" s="10" t="n"/>
      <c r="I155" s="13" t="n"/>
      <c r="J155" s="10" t="n"/>
      <c r="K155" s="9" t="n"/>
      <c r="L155" s="9">
        <f>IF(G155="","",G155-(I155*Settings!$B$4)-(J155*0.1)-K155)</f>
        <v/>
      </c>
      <c r="M155" s="10">
        <f>IF(H155="Paid","✔","")</f>
        <v/>
      </c>
    </row>
    <row r="156">
      <c r="A156" s="12" t="n"/>
      <c r="B156" s="10" t="n"/>
      <c r="C156" s="10" t="n"/>
      <c r="D156" s="10" t="n"/>
      <c r="E156" s="10" t="n"/>
      <c r="F156" s="9" t="n"/>
      <c r="G156" s="9" t="n"/>
      <c r="H156" s="10" t="n"/>
      <c r="I156" s="13" t="n"/>
      <c r="J156" s="10" t="n"/>
      <c r="K156" s="9" t="n"/>
      <c r="L156" s="9">
        <f>IF(G156="","",G156-(I156*Settings!$B$4)-(J156*0.1)-K156)</f>
        <v/>
      </c>
      <c r="M156" s="10">
        <f>IF(H156="Paid","✔","")</f>
        <v/>
      </c>
    </row>
    <row r="157">
      <c r="A157" s="12" t="n"/>
      <c r="B157" s="10" t="n"/>
      <c r="C157" s="10" t="n"/>
      <c r="D157" s="10" t="n"/>
      <c r="E157" s="10" t="n"/>
      <c r="F157" s="9" t="n"/>
      <c r="G157" s="9" t="n"/>
      <c r="H157" s="10" t="n"/>
      <c r="I157" s="13" t="n"/>
      <c r="J157" s="10" t="n"/>
      <c r="K157" s="9" t="n"/>
      <c r="L157" s="9">
        <f>IF(G157="","",G157-(I157*Settings!$B$4)-(J157*0.1)-K157)</f>
        <v/>
      </c>
      <c r="M157" s="10">
        <f>IF(H157="Paid","✔","")</f>
        <v/>
      </c>
    </row>
    <row r="158">
      <c r="A158" s="12" t="n"/>
      <c r="B158" s="10" t="n"/>
      <c r="C158" s="10" t="n"/>
      <c r="D158" s="10" t="n"/>
      <c r="E158" s="10" t="n"/>
      <c r="F158" s="9" t="n"/>
      <c r="G158" s="9" t="n"/>
      <c r="H158" s="10" t="n"/>
      <c r="I158" s="13" t="n"/>
      <c r="J158" s="10" t="n"/>
      <c r="K158" s="9" t="n"/>
      <c r="L158" s="9">
        <f>IF(G158="","",G158-(I158*Settings!$B$4)-(J158*0.1)-K158)</f>
        <v/>
      </c>
      <c r="M158" s="10">
        <f>IF(H158="Paid","✔","")</f>
        <v/>
      </c>
    </row>
    <row r="159">
      <c r="A159" s="12" t="n"/>
      <c r="B159" s="10" t="n"/>
      <c r="C159" s="10" t="n"/>
      <c r="D159" s="10" t="n"/>
      <c r="E159" s="10" t="n"/>
      <c r="F159" s="9" t="n"/>
      <c r="G159" s="9" t="n"/>
      <c r="H159" s="10" t="n"/>
      <c r="I159" s="13" t="n"/>
      <c r="J159" s="10" t="n"/>
      <c r="K159" s="9" t="n"/>
      <c r="L159" s="9">
        <f>IF(G159="","",G159-(I159*Settings!$B$4)-(J159*0.1)-K159)</f>
        <v/>
      </c>
      <c r="M159" s="10">
        <f>IF(H159="Paid","✔","")</f>
        <v/>
      </c>
    </row>
    <row r="160">
      <c r="A160" s="12" t="n"/>
      <c r="B160" s="10" t="n"/>
      <c r="C160" s="10" t="n"/>
      <c r="D160" s="10" t="n"/>
      <c r="E160" s="10" t="n"/>
      <c r="F160" s="9" t="n"/>
      <c r="G160" s="9" t="n"/>
      <c r="H160" s="10" t="n"/>
      <c r="I160" s="13" t="n"/>
      <c r="J160" s="10" t="n"/>
      <c r="K160" s="9" t="n"/>
      <c r="L160" s="9">
        <f>IF(G160="","",G160-(I160*Settings!$B$4)-(J160*0.1)-K160)</f>
        <v/>
      </c>
      <c r="M160" s="10">
        <f>IF(H160="Paid","✔","")</f>
        <v/>
      </c>
    </row>
    <row r="161">
      <c r="A161" s="12" t="n"/>
      <c r="B161" s="10" t="n"/>
      <c r="C161" s="10" t="n"/>
      <c r="D161" s="10" t="n"/>
      <c r="E161" s="10" t="n"/>
      <c r="F161" s="9" t="n"/>
      <c r="G161" s="9" t="n"/>
      <c r="H161" s="10" t="n"/>
      <c r="I161" s="13" t="n"/>
      <c r="J161" s="10" t="n"/>
      <c r="K161" s="9" t="n"/>
      <c r="L161" s="9">
        <f>IF(G161="","",G161-(I161*Settings!$B$4)-(J161*0.1)-K161)</f>
        <v/>
      </c>
      <c r="M161" s="10">
        <f>IF(H161="Paid","✔","")</f>
        <v/>
      </c>
    </row>
    <row r="162">
      <c r="A162" s="12" t="n"/>
      <c r="B162" s="10" t="n"/>
      <c r="C162" s="10" t="n"/>
      <c r="D162" s="10" t="n"/>
      <c r="E162" s="10" t="n"/>
      <c r="F162" s="9" t="n"/>
      <c r="G162" s="9" t="n"/>
      <c r="H162" s="10" t="n"/>
      <c r="I162" s="13" t="n"/>
      <c r="J162" s="10" t="n"/>
      <c r="K162" s="9" t="n"/>
      <c r="L162" s="9">
        <f>IF(G162="","",G162-(I162*Settings!$B$4)-(J162*0.1)-K162)</f>
        <v/>
      </c>
      <c r="M162" s="10">
        <f>IF(H162="Paid","✔","")</f>
        <v/>
      </c>
    </row>
    <row r="163">
      <c r="A163" s="12" t="n"/>
      <c r="B163" s="10" t="n"/>
      <c r="C163" s="10" t="n"/>
      <c r="D163" s="10" t="n"/>
      <c r="E163" s="10" t="n"/>
      <c r="F163" s="9" t="n"/>
      <c r="G163" s="9" t="n"/>
      <c r="H163" s="10" t="n"/>
      <c r="I163" s="13" t="n"/>
      <c r="J163" s="10" t="n"/>
      <c r="K163" s="9" t="n"/>
      <c r="L163" s="9">
        <f>IF(G163="","",G163-(I163*Settings!$B$4)-(J163*0.1)-K163)</f>
        <v/>
      </c>
      <c r="M163" s="10">
        <f>IF(H163="Paid","✔","")</f>
        <v/>
      </c>
    </row>
    <row r="164">
      <c r="A164" s="12" t="n"/>
      <c r="B164" s="10" t="n"/>
      <c r="C164" s="10" t="n"/>
      <c r="D164" s="10" t="n"/>
      <c r="E164" s="10" t="n"/>
      <c r="F164" s="9" t="n"/>
      <c r="G164" s="9" t="n"/>
      <c r="H164" s="10" t="n"/>
      <c r="I164" s="13" t="n"/>
      <c r="J164" s="10" t="n"/>
      <c r="K164" s="9" t="n"/>
      <c r="L164" s="9">
        <f>IF(G164="","",G164-(I164*Settings!$B$4)-(J164*0.1)-K164)</f>
        <v/>
      </c>
      <c r="M164" s="10">
        <f>IF(H164="Paid","✔","")</f>
        <v/>
      </c>
    </row>
    <row r="165">
      <c r="A165" s="12" t="n"/>
      <c r="B165" s="10" t="n"/>
      <c r="C165" s="10" t="n"/>
      <c r="D165" s="10" t="n"/>
      <c r="E165" s="10" t="n"/>
      <c r="F165" s="9" t="n"/>
      <c r="G165" s="9" t="n"/>
      <c r="H165" s="10" t="n"/>
      <c r="I165" s="13" t="n"/>
      <c r="J165" s="10" t="n"/>
      <c r="K165" s="9" t="n"/>
      <c r="L165" s="9">
        <f>IF(G165="","",G165-(I165*Settings!$B$4)-(J165*0.1)-K165)</f>
        <v/>
      </c>
      <c r="M165" s="10">
        <f>IF(H165="Paid","✔","")</f>
        <v/>
      </c>
    </row>
    <row r="166">
      <c r="A166" s="12" t="n"/>
      <c r="B166" s="10" t="n"/>
      <c r="C166" s="10" t="n"/>
      <c r="D166" s="10" t="n"/>
      <c r="E166" s="10" t="n"/>
      <c r="F166" s="9" t="n"/>
      <c r="G166" s="9" t="n"/>
      <c r="H166" s="10" t="n"/>
      <c r="I166" s="13" t="n"/>
      <c r="J166" s="10" t="n"/>
      <c r="K166" s="9" t="n"/>
      <c r="L166" s="9">
        <f>IF(G166="","",G166-(I166*Settings!$B$4)-(J166*0.1)-K166)</f>
        <v/>
      </c>
      <c r="M166" s="10">
        <f>IF(H166="Paid","✔","")</f>
        <v/>
      </c>
    </row>
    <row r="167">
      <c r="A167" s="12" t="n"/>
      <c r="B167" s="10" t="n"/>
      <c r="C167" s="10" t="n"/>
      <c r="D167" s="10" t="n"/>
      <c r="E167" s="10" t="n"/>
      <c r="F167" s="9" t="n"/>
      <c r="G167" s="9" t="n"/>
      <c r="H167" s="10" t="n"/>
      <c r="I167" s="13" t="n"/>
      <c r="J167" s="10" t="n"/>
      <c r="K167" s="9" t="n"/>
      <c r="L167" s="9">
        <f>IF(G167="","",G167-(I167*Settings!$B$4)-(J167*0.1)-K167)</f>
        <v/>
      </c>
      <c r="M167" s="10">
        <f>IF(H167="Paid","✔","")</f>
        <v/>
      </c>
    </row>
    <row r="168">
      <c r="A168" s="12" t="n"/>
      <c r="B168" s="10" t="n"/>
      <c r="C168" s="10" t="n"/>
      <c r="D168" s="10" t="n"/>
      <c r="E168" s="10" t="n"/>
      <c r="F168" s="9" t="n"/>
      <c r="G168" s="9" t="n"/>
      <c r="H168" s="10" t="n"/>
      <c r="I168" s="13" t="n"/>
      <c r="J168" s="10" t="n"/>
      <c r="K168" s="9" t="n"/>
      <c r="L168" s="9">
        <f>IF(G168="","",G168-(I168*Settings!$B$4)-(J168*0.1)-K168)</f>
        <v/>
      </c>
      <c r="M168" s="10">
        <f>IF(H168="Paid","✔","")</f>
        <v/>
      </c>
    </row>
    <row r="169">
      <c r="A169" s="12" t="n"/>
      <c r="B169" s="10" t="n"/>
      <c r="C169" s="10" t="n"/>
      <c r="D169" s="10" t="n"/>
      <c r="E169" s="10" t="n"/>
      <c r="F169" s="9" t="n"/>
      <c r="G169" s="9" t="n"/>
      <c r="H169" s="10" t="n"/>
      <c r="I169" s="13" t="n"/>
      <c r="J169" s="10" t="n"/>
      <c r="K169" s="9" t="n"/>
      <c r="L169" s="9">
        <f>IF(G169="","",G169-(I169*Settings!$B$4)-(J169*0.1)-K169)</f>
        <v/>
      </c>
      <c r="M169" s="10">
        <f>IF(H169="Paid","✔","")</f>
        <v/>
      </c>
    </row>
    <row r="170">
      <c r="A170" s="12" t="n"/>
      <c r="B170" s="10" t="n"/>
      <c r="C170" s="10" t="n"/>
      <c r="D170" s="10" t="n"/>
      <c r="E170" s="10" t="n"/>
      <c r="F170" s="9" t="n"/>
      <c r="G170" s="9" t="n"/>
      <c r="H170" s="10" t="n"/>
      <c r="I170" s="13" t="n"/>
      <c r="J170" s="10" t="n"/>
      <c r="K170" s="9" t="n"/>
      <c r="L170" s="9">
        <f>IF(G170="","",G170-(I170*Settings!$B$4)-(J170*0.1)-K170)</f>
        <v/>
      </c>
      <c r="M170" s="10">
        <f>IF(H170="Paid","✔","")</f>
        <v/>
      </c>
    </row>
    <row r="171">
      <c r="A171" s="12" t="n"/>
      <c r="B171" s="10" t="n"/>
      <c r="C171" s="10" t="n"/>
      <c r="D171" s="10" t="n"/>
      <c r="E171" s="10" t="n"/>
      <c r="F171" s="9" t="n"/>
      <c r="G171" s="9" t="n"/>
      <c r="H171" s="10" t="n"/>
      <c r="I171" s="13" t="n"/>
      <c r="J171" s="10" t="n"/>
      <c r="K171" s="9" t="n"/>
      <c r="L171" s="9">
        <f>IF(G171="","",G171-(I171*Settings!$B$4)-(J171*0.1)-K171)</f>
        <v/>
      </c>
      <c r="M171" s="10">
        <f>IF(H171="Paid","✔","")</f>
        <v/>
      </c>
    </row>
    <row r="172">
      <c r="A172" s="12" t="n"/>
      <c r="B172" s="10" t="n"/>
      <c r="C172" s="10" t="n"/>
      <c r="D172" s="10" t="n"/>
      <c r="E172" s="10" t="n"/>
      <c r="F172" s="9" t="n"/>
      <c r="G172" s="9" t="n"/>
      <c r="H172" s="10" t="n"/>
      <c r="I172" s="13" t="n"/>
      <c r="J172" s="10" t="n"/>
      <c r="K172" s="9" t="n"/>
      <c r="L172" s="9">
        <f>IF(G172="","",G172-(I172*Settings!$B$4)-(J172*0.1)-K172)</f>
        <v/>
      </c>
      <c r="M172" s="10">
        <f>IF(H172="Paid","✔","")</f>
        <v/>
      </c>
    </row>
    <row r="173">
      <c r="A173" s="12" t="n"/>
      <c r="B173" s="10" t="n"/>
      <c r="C173" s="10" t="n"/>
      <c r="D173" s="10" t="n"/>
      <c r="E173" s="10" t="n"/>
      <c r="F173" s="9" t="n"/>
      <c r="G173" s="9" t="n"/>
      <c r="H173" s="10" t="n"/>
      <c r="I173" s="13" t="n"/>
      <c r="J173" s="10" t="n"/>
      <c r="K173" s="9" t="n"/>
      <c r="L173" s="9">
        <f>IF(G173="","",G173-(I173*Settings!$B$4)-(J173*0.1)-K173)</f>
        <v/>
      </c>
      <c r="M173" s="10">
        <f>IF(H173="Paid","✔","")</f>
        <v/>
      </c>
    </row>
    <row r="174">
      <c r="A174" s="12" t="n"/>
      <c r="B174" s="10" t="n"/>
      <c r="C174" s="10" t="n"/>
      <c r="D174" s="10" t="n"/>
      <c r="E174" s="10" t="n"/>
      <c r="F174" s="9" t="n"/>
      <c r="G174" s="9" t="n"/>
      <c r="H174" s="10" t="n"/>
      <c r="I174" s="13" t="n"/>
      <c r="J174" s="10" t="n"/>
      <c r="K174" s="9" t="n"/>
      <c r="L174" s="9">
        <f>IF(G174="","",G174-(I174*Settings!$B$4)-(J174*0.1)-K174)</f>
        <v/>
      </c>
      <c r="M174" s="10">
        <f>IF(H174="Paid","✔","")</f>
        <v/>
      </c>
    </row>
    <row r="175">
      <c r="A175" s="12" t="n"/>
      <c r="B175" s="10" t="n"/>
      <c r="C175" s="10" t="n"/>
      <c r="D175" s="10" t="n"/>
      <c r="E175" s="10" t="n"/>
      <c r="F175" s="9" t="n"/>
      <c r="G175" s="9" t="n"/>
      <c r="H175" s="10" t="n"/>
      <c r="I175" s="13" t="n"/>
      <c r="J175" s="10" t="n"/>
      <c r="K175" s="9" t="n"/>
      <c r="L175" s="9">
        <f>IF(G175="","",G175-(I175*Settings!$B$4)-(J175*0.1)-K175)</f>
        <v/>
      </c>
      <c r="M175" s="10">
        <f>IF(H175="Paid","✔","")</f>
        <v/>
      </c>
    </row>
    <row r="176">
      <c r="A176" s="12" t="n"/>
      <c r="B176" s="10" t="n"/>
      <c r="C176" s="10" t="n"/>
      <c r="D176" s="10" t="n"/>
      <c r="E176" s="10" t="n"/>
      <c r="F176" s="9" t="n"/>
      <c r="G176" s="9" t="n"/>
      <c r="H176" s="10" t="n"/>
      <c r="I176" s="13" t="n"/>
      <c r="J176" s="10" t="n"/>
      <c r="K176" s="9" t="n"/>
      <c r="L176" s="9">
        <f>IF(G176="","",G176-(I176*Settings!$B$4)-(J176*0.1)-K176)</f>
        <v/>
      </c>
      <c r="M176" s="10">
        <f>IF(H176="Paid","✔","")</f>
        <v/>
      </c>
    </row>
    <row r="177">
      <c r="A177" s="12" t="n"/>
      <c r="B177" s="10" t="n"/>
      <c r="C177" s="10" t="n"/>
      <c r="D177" s="10" t="n"/>
      <c r="E177" s="10" t="n"/>
      <c r="F177" s="9" t="n"/>
      <c r="G177" s="9" t="n"/>
      <c r="H177" s="10" t="n"/>
      <c r="I177" s="13" t="n"/>
      <c r="J177" s="10" t="n"/>
      <c r="K177" s="9" t="n"/>
      <c r="L177" s="9">
        <f>IF(G177="","",G177-(I177*Settings!$B$4)-(J177*0.1)-K177)</f>
        <v/>
      </c>
      <c r="M177" s="10">
        <f>IF(H177="Paid","✔","")</f>
        <v/>
      </c>
    </row>
    <row r="178">
      <c r="A178" s="12" t="n"/>
      <c r="B178" s="10" t="n"/>
      <c r="C178" s="10" t="n"/>
      <c r="D178" s="10" t="n"/>
      <c r="E178" s="10" t="n"/>
      <c r="F178" s="9" t="n"/>
      <c r="G178" s="9" t="n"/>
      <c r="H178" s="10" t="n"/>
      <c r="I178" s="13" t="n"/>
      <c r="J178" s="10" t="n"/>
      <c r="K178" s="9" t="n"/>
      <c r="L178" s="9">
        <f>IF(G178="","",G178-(I178*Settings!$B$4)-(J178*0.1)-K178)</f>
        <v/>
      </c>
      <c r="M178" s="10">
        <f>IF(H178="Paid","✔","")</f>
        <v/>
      </c>
    </row>
    <row r="179">
      <c r="A179" s="12" t="n"/>
      <c r="B179" s="10" t="n"/>
      <c r="C179" s="10" t="n"/>
      <c r="D179" s="10" t="n"/>
      <c r="E179" s="10" t="n"/>
      <c r="F179" s="9" t="n"/>
      <c r="G179" s="9" t="n"/>
      <c r="H179" s="10" t="n"/>
      <c r="I179" s="13" t="n"/>
      <c r="J179" s="10" t="n"/>
      <c r="K179" s="9" t="n"/>
      <c r="L179" s="9">
        <f>IF(G179="","",G179-(I179*Settings!$B$4)-(J179*0.1)-K179)</f>
        <v/>
      </c>
      <c r="M179" s="10">
        <f>IF(H179="Paid","✔","")</f>
        <v/>
      </c>
    </row>
    <row r="180">
      <c r="A180" s="12" t="n"/>
      <c r="B180" s="10" t="n"/>
      <c r="C180" s="10" t="n"/>
      <c r="D180" s="10" t="n"/>
      <c r="E180" s="10" t="n"/>
      <c r="F180" s="9" t="n"/>
      <c r="G180" s="9" t="n"/>
      <c r="H180" s="10" t="n"/>
      <c r="I180" s="13" t="n"/>
      <c r="J180" s="10" t="n"/>
      <c r="K180" s="9" t="n"/>
      <c r="L180" s="9">
        <f>IF(G180="","",G180-(I180*Settings!$B$4)-(J180*0.1)-K180)</f>
        <v/>
      </c>
      <c r="M180" s="10">
        <f>IF(H180="Paid","✔","")</f>
        <v/>
      </c>
    </row>
    <row r="181">
      <c r="A181" s="12" t="n"/>
      <c r="B181" s="10" t="n"/>
      <c r="C181" s="10" t="n"/>
      <c r="D181" s="10" t="n"/>
      <c r="E181" s="10" t="n"/>
      <c r="F181" s="9" t="n"/>
      <c r="G181" s="9" t="n"/>
      <c r="H181" s="10" t="n"/>
      <c r="I181" s="13" t="n"/>
      <c r="J181" s="10" t="n"/>
      <c r="K181" s="9" t="n"/>
      <c r="L181" s="9">
        <f>IF(G181="","",G181-(I181*Settings!$B$4)-(J181*0.1)-K181)</f>
        <v/>
      </c>
      <c r="M181" s="10">
        <f>IF(H181="Paid","✔","")</f>
        <v/>
      </c>
    </row>
    <row r="182">
      <c r="A182" s="12" t="n"/>
      <c r="B182" s="10" t="n"/>
      <c r="C182" s="10" t="n"/>
      <c r="D182" s="10" t="n"/>
      <c r="E182" s="10" t="n"/>
      <c r="F182" s="9" t="n"/>
      <c r="G182" s="9" t="n"/>
      <c r="H182" s="10" t="n"/>
      <c r="I182" s="13" t="n"/>
      <c r="J182" s="10" t="n"/>
      <c r="K182" s="9" t="n"/>
      <c r="L182" s="9">
        <f>IF(G182="","",G182-(I182*Settings!$B$4)-(J182*0.1)-K182)</f>
        <v/>
      </c>
      <c r="M182" s="10">
        <f>IF(H182="Paid","✔","")</f>
        <v/>
      </c>
    </row>
    <row r="183">
      <c r="A183" s="12" t="n"/>
      <c r="B183" s="10" t="n"/>
      <c r="C183" s="10" t="n"/>
      <c r="D183" s="10" t="n"/>
      <c r="E183" s="10" t="n"/>
      <c r="F183" s="9" t="n"/>
      <c r="G183" s="9" t="n"/>
      <c r="H183" s="10" t="n"/>
      <c r="I183" s="13" t="n"/>
      <c r="J183" s="10" t="n"/>
      <c r="K183" s="9" t="n"/>
      <c r="L183" s="9">
        <f>IF(G183="","",G183-(I183*Settings!$B$4)-(J183*0.1)-K183)</f>
        <v/>
      </c>
      <c r="M183" s="10">
        <f>IF(H183="Paid","✔","")</f>
        <v/>
      </c>
    </row>
    <row r="184">
      <c r="A184" s="12" t="n"/>
      <c r="B184" s="10" t="n"/>
      <c r="C184" s="10" t="n"/>
      <c r="D184" s="10" t="n"/>
      <c r="E184" s="10" t="n"/>
      <c r="F184" s="9" t="n"/>
      <c r="G184" s="9" t="n"/>
      <c r="H184" s="10" t="n"/>
      <c r="I184" s="13" t="n"/>
      <c r="J184" s="10" t="n"/>
      <c r="K184" s="9" t="n"/>
      <c r="L184" s="9">
        <f>IF(G184="","",G184-(I184*Settings!$B$4)-(J184*0.1)-K184)</f>
        <v/>
      </c>
      <c r="M184" s="10">
        <f>IF(H184="Paid","✔","")</f>
        <v/>
      </c>
    </row>
    <row r="185">
      <c r="A185" s="12" t="n"/>
      <c r="B185" s="10" t="n"/>
      <c r="C185" s="10" t="n"/>
      <c r="D185" s="10" t="n"/>
      <c r="E185" s="10" t="n"/>
      <c r="F185" s="9" t="n"/>
      <c r="G185" s="9" t="n"/>
      <c r="H185" s="10" t="n"/>
      <c r="I185" s="13" t="n"/>
      <c r="J185" s="10" t="n"/>
      <c r="K185" s="9" t="n"/>
      <c r="L185" s="9">
        <f>IF(G185="","",G185-(I185*Settings!$B$4)-(J185*0.1)-K185)</f>
        <v/>
      </c>
      <c r="M185" s="10">
        <f>IF(H185="Paid","✔","")</f>
        <v/>
      </c>
    </row>
    <row r="186">
      <c r="A186" s="12" t="n"/>
      <c r="B186" s="10" t="n"/>
      <c r="C186" s="10" t="n"/>
      <c r="D186" s="10" t="n"/>
      <c r="E186" s="10" t="n"/>
      <c r="F186" s="9" t="n"/>
      <c r="G186" s="9" t="n"/>
      <c r="H186" s="10" t="n"/>
      <c r="I186" s="13" t="n"/>
      <c r="J186" s="10" t="n"/>
      <c r="K186" s="9" t="n"/>
      <c r="L186" s="9">
        <f>IF(G186="","",G186-(I186*Settings!$B$4)-(J186*0.1)-K186)</f>
        <v/>
      </c>
      <c r="M186" s="10">
        <f>IF(H186="Paid","✔","")</f>
        <v/>
      </c>
    </row>
    <row r="187">
      <c r="A187" s="12" t="n"/>
      <c r="B187" s="10" t="n"/>
      <c r="C187" s="10" t="n"/>
      <c r="D187" s="10" t="n"/>
      <c r="E187" s="10" t="n"/>
      <c r="F187" s="9" t="n"/>
      <c r="G187" s="9" t="n"/>
      <c r="H187" s="10" t="n"/>
      <c r="I187" s="13" t="n"/>
      <c r="J187" s="10" t="n"/>
      <c r="K187" s="9" t="n"/>
      <c r="L187" s="9">
        <f>IF(G187="","",G187-(I187*Settings!$B$4)-(J187*0.1)-K187)</f>
        <v/>
      </c>
      <c r="M187" s="10">
        <f>IF(H187="Paid","✔","")</f>
        <v/>
      </c>
    </row>
    <row r="188">
      <c r="A188" s="12" t="n"/>
      <c r="B188" s="10" t="n"/>
      <c r="C188" s="10" t="n"/>
      <c r="D188" s="10" t="n"/>
      <c r="E188" s="10" t="n"/>
      <c r="F188" s="9" t="n"/>
      <c r="G188" s="9" t="n"/>
      <c r="H188" s="10" t="n"/>
      <c r="I188" s="13" t="n"/>
      <c r="J188" s="10" t="n"/>
      <c r="K188" s="9" t="n"/>
      <c r="L188" s="9">
        <f>IF(G188="","",G188-(I188*Settings!$B$4)-(J188*0.1)-K188)</f>
        <v/>
      </c>
      <c r="M188" s="10">
        <f>IF(H188="Paid","✔","")</f>
        <v/>
      </c>
    </row>
    <row r="189">
      <c r="A189" s="12" t="n"/>
      <c r="B189" s="10" t="n"/>
      <c r="C189" s="10" t="n"/>
      <c r="D189" s="10" t="n"/>
      <c r="E189" s="10" t="n"/>
      <c r="F189" s="9" t="n"/>
      <c r="G189" s="9" t="n"/>
      <c r="H189" s="10" t="n"/>
      <c r="I189" s="13" t="n"/>
      <c r="J189" s="10" t="n"/>
      <c r="K189" s="9" t="n"/>
      <c r="L189" s="9">
        <f>IF(G189="","",G189-(I189*Settings!$B$4)-(J189*0.1)-K189)</f>
        <v/>
      </c>
      <c r="M189" s="10">
        <f>IF(H189="Paid","✔","")</f>
        <v/>
      </c>
    </row>
    <row r="190">
      <c r="A190" s="12" t="n"/>
      <c r="B190" s="10" t="n"/>
      <c r="C190" s="10" t="n"/>
      <c r="D190" s="10" t="n"/>
      <c r="E190" s="10" t="n"/>
      <c r="F190" s="9" t="n"/>
      <c r="G190" s="9" t="n"/>
      <c r="H190" s="10" t="n"/>
      <c r="I190" s="13" t="n"/>
      <c r="J190" s="10" t="n"/>
      <c r="K190" s="9" t="n"/>
      <c r="L190" s="9">
        <f>IF(G190="","",G190-(I190*Settings!$B$4)-(J190*0.1)-K190)</f>
        <v/>
      </c>
      <c r="M190" s="10">
        <f>IF(H190="Paid","✔","")</f>
        <v/>
      </c>
    </row>
    <row r="191">
      <c r="A191" s="12" t="n"/>
      <c r="B191" s="10" t="n"/>
      <c r="C191" s="10" t="n"/>
      <c r="D191" s="10" t="n"/>
      <c r="E191" s="10" t="n"/>
      <c r="F191" s="9" t="n"/>
      <c r="G191" s="9" t="n"/>
      <c r="H191" s="10" t="n"/>
      <c r="I191" s="13" t="n"/>
      <c r="J191" s="10" t="n"/>
      <c r="K191" s="9" t="n"/>
      <c r="L191" s="9">
        <f>IF(G191="","",G191-(I191*Settings!$B$4)-(J191*0.1)-K191)</f>
        <v/>
      </c>
      <c r="M191" s="10">
        <f>IF(H191="Paid","✔","")</f>
        <v/>
      </c>
    </row>
    <row r="192">
      <c r="A192" s="12" t="n"/>
      <c r="B192" s="10" t="n"/>
      <c r="C192" s="10" t="n"/>
      <c r="D192" s="10" t="n"/>
      <c r="E192" s="10" t="n"/>
      <c r="F192" s="9" t="n"/>
      <c r="G192" s="9" t="n"/>
      <c r="H192" s="10" t="n"/>
      <c r="I192" s="13" t="n"/>
      <c r="J192" s="10" t="n"/>
      <c r="K192" s="9" t="n"/>
      <c r="L192" s="9">
        <f>IF(G192="","",G192-(I192*Settings!$B$4)-(J192*0.1)-K192)</f>
        <v/>
      </c>
      <c r="M192" s="10">
        <f>IF(H192="Paid","✔","")</f>
        <v/>
      </c>
    </row>
    <row r="193">
      <c r="A193" s="12" t="n"/>
      <c r="B193" s="10" t="n"/>
      <c r="C193" s="10" t="n"/>
      <c r="D193" s="10" t="n"/>
      <c r="E193" s="10" t="n"/>
      <c r="F193" s="9" t="n"/>
      <c r="G193" s="9" t="n"/>
      <c r="H193" s="10" t="n"/>
      <c r="I193" s="13" t="n"/>
      <c r="J193" s="10" t="n"/>
      <c r="K193" s="9" t="n"/>
      <c r="L193" s="9">
        <f>IF(G193="","",G193-(I193*Settings!$B$4)-(J193*0.1)-K193)</f>
        <v/>
      </c>
      <c r="M193" s="10">
        <f>IF(H193="Paid","✔","")</f>
        <v/>
      </c>
    </row>
    <row r="194">
      <c r="A194" s="12" t="n"/>
      <c r="B194" s="10" t="n"/>
      <c r="C194" s="10" t="n"/>
      <c r="D194" s="10" t="n"/>
      <c r="E194" s="10" t="n"/>
      <c r="F194" s="9" t="n"/>
      <c r="G194" s="9" t="n"/>
      <c r="H194" s="10" t="n"/>
      <c r="I194" s="13" t="n"/>
      <c r="J194" s="10" t="n"/>
      <c r="K194" s="9" t="n"/>
      <c r="L194" s="9">
        <f>IF(G194="","",G194-(I194*Settings!$B$4)-(J194*0.1)-K194)</f>
        <v/>
      </c>
      <c r="M194" s="10">
        <f>IF(H194="Paid","✔","")</f>
        <v/>
      </c>
    </row>
    <row r="195">
      <c r="A195" s="12" t="n"/>
      <c r="B195" s="10" t="n"/>
      <c r="C195" s="10" t="n"/>
      <c r="D195" s="10" t="n"/>
      <c r="E195" s="10" t="n"/>
      <c r="F195" s="9" t="n"/>
      <c r="G195" s="9" t="n"/>
      <c r="H195" s="10" t="n"/>
      <c r="I195" s="13" t="n"/>
      <c r="J195" s="10" t="n"/>
      <c r="K195" s="9" t="n"/>
      <c r="L195" s="9">
        <f>IF(G195="","",G195-(I195*Settings!$B$4)-(J195*0.1)-K195)</f>
        <v/>
      </c>
      <c r="M195" s="10">
        <f>IF(H195="Paid","✔","")</f>
        <v/>
      </c>
    </row>
    <row r="196">
      <c r="A196" s="12" t="n"/>
      <c r="B196" s="10" t="n"/>
      <c r="C196" s="10" t="n"/>
      <c r="D196" s="10" t="n"/>
      <c r="E196" s="10" t="n"/>
      <c r="F196" s="9" t="n"/>
      <c r="G196" s="9" t="n"/>
      <c r="H196" s="10" t="n"/>
      <c r="I196" s="13" t="n"/>
      <c r="J196" s="10" t="n"/>
      <c r="K196" s="9" t="n"/>
      <c r="L196" s="9">
        <f>IF(G196="","",G196-(I196*Settings!$B$4)-(J196*0.1)-K196)</f>
        <v/>
      </c>
      <c r="M196" s="10">
        <f>IF(H196="Paid","✔","")</f>
        <v/>
      </c>
    </row>
    <row r="197">
      <c r="A197" s="12" t="n"/>
      <c r="B197" s="10" t="n"/>
      <c r="C197" s="10" t="n"/>
      <c r="D197" s="10" t="n"/>
      <c r="E197" s="10" t="n"/>
      <c r="F197" s="9" t="n"/>
      <c r="G197" s="9" t="n"/>
      <c r="H197" s="10" t="n"/>
      <c r="I197" s="13" t="n"/>
      <c r="J197" s="10" t="n"/>
      <c r="K197" s="9" t="n"/>
      <c r="L197" s="9">
        <f>IF(G197="","",G197-(I197*Settings!$B$4)-(J197*0.1)-K197)</f>
        <v/>
      </c>
      <c r="M197" s="10">
        <f>IF(H197="Paid","✔","")</f>
        <v/>
      </c>
    </row>
    <row r="198">
      <c r="A198" s="12" t="n"/>
      <c r="B198" s="10" t="n"/>
      <c r="C198" s="10" t="n"/>
      <c r="D198" s="10" t="n"/>
      <c r="E198" s="10" t="n"/>
      <c r="F198" s="9" t="n"/>
      <c r="G198" s="9" t="n"/>
      <c r="H198" s="10" t="n"/>
      <c r="I198" s="13" t="n"/>
      <c r="J198" s="10" t="n"/>
      <c r="K198" s="9" t="n"/>
      <c r="L198" s="9">
        <f>IF(G198="","",G198-(I198*Settings!$B$4)-(J198*0.1)-K198)</f>
        <v/>
      </c>
      <c r="M198" s="10">
        <f>IF(H198="Paid","✔","")</f>
        <v/>
      </c>
    </row>
    <row r="199">
      <c r="A199" s="12" t="n"/>
      <c r="B199" s="10" t="n"/>
      <c r="C199" s="10" t="n"/>
      <c r="D199" s="10" t="n"/>
      <c r="E199" s="10" t="n"/>
      <c r="F199" s="9" t="n"/>
      <c r="G199" s="9" t="n"/>
      <c r="H199" s="10" t="n"/>
      <c r="I199" s="13" t="n"/>
      <c r="J199" s="10" t="n"/>
      <c r="K199" s="9" t="n"/>
      <c r="L199" s="9">
        <f>IF(G199="","",G199-(I199*Settings!$B$4)-(J199*0.1)-K199)</f>
        <v/>
      </c>
      <c r="M199" s="10">
        <f>IF(H199="Paid","✔","")</f>
        <v/>
      </c>
    </row>
    <row r="200">
      <c r="A200" s="12" t="n"/>
      <c r="B200" s="10" t="n"/>
      <c r="C200" s="10" t="n"/>
      <c r="D200" s="10" t="n"/>
      <c r="E200" s="10" t="n"/>
      <c r="F200" s="9" t="n"/>
      <c r="G200" s="9" t="n"/>
      <c r="H200" s="10" t="n"/>
      <c r="I200" s="13" t="n"/>
      <c r="J200" s="10" t="n"/>
      <c r="K200" s="9" t="n"/>
      <c r="L200" s="9">
        <f>IF(G200="","",G200-(I200*Settings!$B$4)-(J200*0.1)-K200)</f>
        <v/>
      </c>
      <c r="M200" s="10">
        <f>IF(H200="Paid","✔","")</f>
        <v/>
      </c>
    </row>
    <row r="201">
      <c r="A201" s="12" t="n"/>
      <c r="B201" s="10" t="n"/>
      <c r="C201" s="10" t="n"/>
      <c r="D201" s="10" t="n"/>
      <c r="E201" s="10" t="n"/>
      <c r="F201" s="9" t="n"/>
      <c r="G201" s="9" t="n"/>
      <c r="H201" s="10" t="n"/>
      <c r="I201" s="13" t="n"/>
      <c r="J201" s="10" t="n"/>
      <c r="K201" s="9" t="n"/>
      <c r="L201" s="9">
        <f>IF(G201="","",G201-(I201*Settings!$B$4)-(J201*0.1)-K201)</f>
        <v/>
      </c>
      <c r="M201" s="10">
        <f>IF(H201="Paid","✔","")</f>
        <v/>
      </c>
    </row>
    <row r="202">
      <c r="A202" s="12" t="n"/>
      <c r="B202" s="10" t="n"/>
      <c r="C202" s="10" t="n"/>
      <c r="D202" s="10" t="n"/>
      <c r="E202" s="10" t="n"/>
      <c r="F202" s="9" t="n"/>
      <c r="G202" s="9" t="n"/>
      <c r="H202" s="10" t="n"/>
      <c r="I202" s="13" t="n"/>
      <c r="J202" s="10" t="n"/>
      <c r="K202" s="9" t="n"/>
      <c r="L202" s="9">
        <f>IF(G202="","",G202-(I202*Settings!$B$4)-(J202*0.1)-K202)</f>
        <v/>
      </c>
      <c r="M202" s="10">
        <f>IF(H202="Paid","✔","")</f>
        <v/>
      </c>
    </row>
    <row r="203">
      <c r="A203" s="12" t="n"/>
      <c r="B203" s="10" t="n"/>
      <c r="C203" s="10" t="n"/>
      <c r="D203" s="10" t="n"/>
      <c r="E203" s="10" t="n"/>
      <c r="F203" s="9" t="n"/>
      <c r="G203" s="9" t="n"/>
      <c r="H203" s="10" t="n"/>
      <c r="I203" s="13" t="n"/>
      <c r="J203" s="10" t="n"/>
      <c r="K203" s="9" t="n"/>
      <c r="L203" s="9">
        <f>IF(G203="","",G203-(I203*Settings!$B$4)-(J203*0.1)-K203)</f>
        <v/>
      </c>
      <c r="M203" s="10">
        <f>IF(H203="Paid","✔","")</f>
        <v/>
      </c>
    </row>
    <row r="204">
      <c r="A204" s="12" t="n"/>
      <c r="B204" s="10" t="n"/>
      <c r="C204" s="10" t="n"/>
      <c r="D204" s="10" t="n"/>
      <c r="E204" s="10" t="n"/>
      <c r="F204" s="9" t="n"/>
      <c r="G204" s="9" t="n"/>
      <c r="H204" s="10" t="n"/>
      <c r="I204" s="13" t="n"/>
      <c r="J204" s="10" t="n"/>
      <c r="K204" s="9" t="n"/>
      <c r="L204" s="9">
        <f>IF(G204="","",G204-(I204*Settings!$B$4)-(J204*0.1)-K204)</f>
        <v/>
      </c>
      <c r="M204" s="10">
        <f>IF(H204="Paid","✔","")</f>
        <v/>
      </c>
    </row>
    <row r="205">
      <c r="A205" s="12" t="n"/>
      <c r="B205" s="10" t="n"/>
      <c r="C205" s="10" t="n"/>
      <c r="D205" s="10" t="n"/>
      <c r="E205" s="10" t="n"/>
      <c r="F205" s="9" t="n"/>
      <c r="G205" s="9" t="n"/>
      <c r="H205" s="10" t="n"/>
      <c r="I205" s="13" t="n"/>
      <c r="J205" s="10" t="n"/>
      <c r="K205" s="9" t="n"/>
      <c r="L205" s="9">
        <f>IF(G205="","",G205-(I205*Settings!$B$4)-(J205*0.1)-K205)</f>
        <v/>
      </c>
      <c r="M205" s="10">
        <f>IF(H205="Paid","✔","")</f>
        <v/>
      </c>
    </row>
    <row r="206">
      <c r="A206" s="12" t="n"/>
      <c r="B206" s="10" t="n"/>
      <c r="C206" s="10" t="n"/>
      <c r="D206" s="10" t="n"/>
      <c r="E206" s="10" t="n"/>
      <c r="F206" s="9" t="n"/>
      <c r="G206" s="9" t="n"/>
      <c r="H206" s="10" t="n"/>
      <c r="I206" s="13" t="n"/>
      <c r="J206" s="10" t="n"/>
      <c r="K206" s="9" t="n"/>
      <c r="L206" s="9">
        <f>IF(G206="","",G206-(I206*Settings!$B$4)-(J206*0.1)-K206)</f>
        <v/>
      </c>
      <c r="M206" s="10">
        <f>IF(H206="Paid","✔","")</f>
        <v/>
      </c>
    </row>
    <row r="207">
      <c r="A207" s="12" t="n"/>
      <c r="B207" s="10" t="n"/>
      <c r="C207" s="10" t="n"/>
      <c r="D207" s="10" t="n"/>
      <c r="E207" s="10" t="n"/>
      <c r="F207" s="9" t="n"/>
      <c r="G207" s="9" t="n"/>
      <c r="H207" s="10" t="n"/>
      <c r="I207" s="13" t="n"/>
      <c r="J207" s="10" t="n"/>
      <c r="K207" s="9" t="n"/>
      <c r="L207" s="9">
        <f>IF(G207="","",G207-(I207*Settings!$B$4)-(J207*0.1)-K207)</f>
        <v/>
      </c>
      <c r="M207" s="10">
        <f>IF(H207="Paid","✔","")</f>
        <v/>
      </c>
    </row>
    <row r="208">
      <c r="A208" s="12" t="n"/>
      <c r="B208" s="10" t="n"/>
      <c r="C208" s="10" t="n"/>
      <c r="D208" s="10" t="n"/>
      <c r="E208" s="10" t="n"/>
      <c r="F208" s="9" t="n"/>
      <c r="G208" s="9" t="n"/>
      <c r="H208" s="10" t="n"/>
      <c r="I208" s="13" t="n"/>
      <c r="J208" s="10" t="n"/>
      <c r="K208" s="9" t="n"/>
      <c r="L208" s="9">
        <f>IF(G208="","",G208-(I208*Settings!$B$4)-(J208*0.1)-K208)</f>
        <v/>
      </c>
      <c r="M208" s="10">
        <f>IF(H208="Paid","✔","")</f>
        <v/>
      </c>
    </row>
    <row r="209">
      <c r="A209" s="12" t="n"/>
      <c r="B209" s="10" t="n"/>
      <c r="C209" s="10" t="n"/>
      <c r="D209" s="10" t="n"/>
      <c r="E209" s="10" t="n"/>
      <c r="F209" s="9" t="n"/>
      <c r="G209" s="9" t="n"/>
      <c r="H209" s="10" t="n"/>
      <c r="I209" s="13" t="n"/>
      <c r="J209" s="10" t="n"/>
      <c r="K209" s="9" t="n"/>
      <c r="L209" s="9">
        <f>IF(G209="","",G209-(I209*Settings!$B$4)-(J209*0.1)-K209)</f>
        <v/>
      </c>
      <c r="M209" s="10">
        <f>IF(H209="Paid","✔","")</f>
        <v/>
      </c>
    </row>
    <row r="210">
      <c r="A210" s="12" t="n"/>
      <c r="B210" s="10" t="n"/>
      <c r="C210" s="10" t="n"/>
      <c r="D210" s="10" t="n"/>
      <c r="E210" s="10" t="n"/>
      <c r="F210" s="9" t="n"/>
      <c r="G210" s="9" t="n"/>
      <c r="H210" s="10" t="n"/>
      <c r="I210" s="13" t="n"/>
      <c r="J210" s="10" t="n"/>
      <c r="K210" s="9" t="n"/>
      <c r="L210" s="9">
        <f>IF(G210="","",G210-(I210*Settings!$B$4)-(J210*0.1)-K210)</f>
        <v/>
      </c>
      <c r="M210" s="10">
        <f>IF(H210="Paid","✔","")</f>
        <v/>
      </c>
    </row>
    <row r="211">
      <c r="A211" s="12" t="n"/>
      <c r="B211" s="10" t="n"/>
      <c r="C211" s="10" t="n"/>
      <c r="D211" s="10" t="n"/>
      <c r="E211" s="10" t="n"/>
      <c r="F211" s="9" t="n"/>
      <c r="G211" s="9" t="n"/>
      <c r="H211" s="10" t="n"/>
      <c r="I211" s="13" t="n"/>
      <c r="J211" s="10" t="n"/>
      <c r="K211" s="9" t="n"/>
      <c r="L211" s="9">
        <f>IF(G211="","",G211-(I211*Settings!$B$4)-(J211*0.1)-K211)</f>
        <v/>
      </c>
      <c r="M211" s="10">
        <f>IF(H211="Paid","✔","")</f>
        <v/>
      </c>
    </row>
    <row r="212">
      <c r="A212" s="12" t="n"/>
      <c r="B212" s="10" t="n"/>
      <c r="C212" s="10" t="n"/>
      <c r="D212" s="10" t="n"/>
      <c r="E212" s="10" t="n"/>
      <c r="F212" s="9" t="n"/>
      <c r="G212" s="9" t="n"/>
      <c r="H212" s="10" t="n"/>
      <c r="I212" s="13" t="n"/>
      <c r="J212" s="10" t="n"/>
      <c r="K212" s="9" t="n"/>
      <c r="L212" s="9">
        <f>IF(G212="","",G212-(I212*Settings!$B$4)-(J212*0.1)-K212)</f>
        <v/>
      </c>
      <c r="M212" s="10">
        <f>IF(H212="Paid","✔","")</f>
        <v/>
      </c>
    </row>
    <row r="213">
      <c r="A213" s="12" t="n"/>
      <c r="B213" s="10" t="n"/>
      <c r="C213" s="10" t="n"/>
      <c r="D213" s="10" t="n"/>
      <c r="E213" s="10" t="n"/>
      <c r="F213" s="9" t="n"/>
      <c r="G213" s="9" t="n"/>
      <c r="H213" s="10" t="n"/>
      <c r="I213" s="13" t="n"/>
      <c r="J213" s="10" t="n"/>
      <c r="K213" s="9" t="n"/>
      <c r="L213" s="9">
        <f>IF(G213="","",G213-(I213*Settings!$B$4)-(J213*0.1)-K213)</f>
        <v/>
      </c>
      <c r="M213" s="10">
        <f>IF(H213="Paid","✔","")</f>
        <v/>
      </c>
    </row>
    <row r="214">
      <c r="A214" s="12" t="n"/>
      <c r="B214" s="10" t="n"/>
      <c r="C214" s="10" t="n"/>
      <c r="D214" s="10" t="n"/>
      <c r="E214" s="10" t="n"/>
      <c r="F214" s="9" t="n"/>
      <c r="G214" s="9" t="n"/>
      <c r="H214" s="10" t="n"/>
      <c r="I214" s="13" t="n"/>
      <c r="J214" s="10" t="n"/>
      <c r="K214" s="9" t="n"/>
      <c r="L214" s="9">
        <f>IF(G214="","",G214-(I214*Settings!$B$4)-(J214*0.1)-K214)</f>
        <v/>
      </c>
      <c r="M214" s="10">
        <f>IF(H214="Paid","✔","")</f>
        <v/>
      </c>
    </row>
    <row r="215">
      <c r="A215" s="12" t="n"/>
      <c r="B215" s="10" t="n"/>
      <c r="C215" s="10" t="n"/>
      <c r="D215" s="10" t="n"/>
      <c r="E215" s="10" t="n"/>
      <c r="F215" s="9" t="n"/>
      <c r="G215" s="9" t="n"/>
      <c r="H215" s="10" t="n"/>
      <c r="I215" s="13" t="n"/>
      <c r="J215" s="10" t="n"/>
      <c r="K215" s="9" t="n"/>
      <c r="L215" s="9">
        <f>IF(G215="","",G215-(I215*Settings!$B$4)-(J215*0.1)-K215)</f>
        <v/>
      </c>
      <c r="M215" s="10">
        <f>IF(H215="Paid","✔","")</f>
        <v/>
      </c>
    </row>
    <row r="216">
      <c r="A216" s="12" t="n"/>
      <c r="B216" s="10" t="n"/>
      <c r="C216" s="10" t="n"/>
      <c r="D216" s="10" t="n"/>
      <c r="E216" s="10" t="n"/>
      <c r="F216" s="9" t="n"/>
      <c r="G216" s="9" t="n"/>
      <c r="H216" s="10" t="n"/>
      <c r="I216" s="13" t="n"/>
      <c r="J216" s="10" t="n"/>
      <c r="K216" s="9" t="n"/>
      <c r="L216" s="9">
        <f>IF(G216="","",G216-(I216*Settings!$B$4)-(J216*0.1)-K216)</f>
        <v/>
      </c>
      <c r="M216" s="10">
        <f>IF(H216="Paid","✔","")</f>
        <v/>
      </c>
    </row>
    <row r="217">
      <c r="A217" s="12" t="n"/>
      <c r="B217" s="10" t="n"/>
      <c r="C217" s="10" t="n"/>
      <c r="D217" s="10" t="n"/>
      <c r="E217" s="10" t="n"/>
      <c r="F217" s="9" t="n"/>
      <c r="G217" s="9" t="n"/>
      <c r="H217" s="10" t="n"/>
      <c r="I217" s="13" t="n"/>
      <c r="J217" s="10" t="n"/>
      <c r="K217" s="9" t="n"/>
      <c r="L217" s="9">
        <f>IF(G217="","",G217-(I217*Settings!$B$4)-(J217*0.1)-K217)</f>
        <v/>
      </c>
      <c r="M217" s="10">
        <f>IF(H217="Paid","✔","")</f>
        <v/>
      </c>
    </row>
    <row r="218">
      <c r="A218" s="12" t="n"/>
      <c r="B218" s="10" t="n"/>
      <c r="C218" s="10" t="n"/>
      <c r="D218" s="10" t="n"/>
      <c r="E218" s="10" t="n"/>
      <c r="F218" s="9" t="n"/>
      <c r="G218" s="9" t="n"/>
      <c r="H218" s="10" t="n"/>
      <c r="I218" s="13" t="n"/>
      <c r="J218" s="10" t="n"/>
      <c r="K218" s="9" t="n"/>
      <c r="L218" s="9">
        <f>IF(G218="","",G218-(I218*Settings!$B$4)-(J218*0.1)-K218)</f>
        <v/>
      </c>
      <c r="M218" s="10">
        <f>IF(H218="Paid","✔","")</f>
        <v/>
      </c>
    </row>
    <row r="219">
      <c r="A219" s="12" t="n"/>
      <c r="B219" s="10" t="n"/>
      <c r="C219" s="10" t="n"/>
      <c r="D219" s="10" t="n"/>
      <c r="E219" s="10" t="n"/>
      <c r="F219" s="9" t="n"/>
      <c r="G219" s="9" t="n"/>
      <c r="H219" s="10" t="n"/>
      <c r="I219" s="13" t="n"/>
      <c r="J219" s="10" t="n"/>
      <c r="K219" s="9" t="n"/>
      <c r="L219" s="9">
        <f>IF(G219="","",G219-(I219*Settings!$B$4)-(J219*0.1)-K219)</f>
        <v/>
      </c>
      <c r="M219" s="10">
        <f>IF(H219="Paid","✔","")</f>
        <v/>
      </c>
    </row>
    <row r="220">
      <c r="A220" s="12" t="n"/>
      <c r="B220" s="10" t="n"/>
      <c r="C220" s="10" t="n"/>
      <c r="D220" s="10" t="n"/>
      <c r="E220" s="10" t="n"/>
      <c r="F220" s="9" t="n"/>
      <c r="G220" s="9" t="n"/>
      <c r="H220" s="10" t="n"/>
      <c r="I220" s="13" t="n"/>
      <c r="J220" s="10" t="n"/>
      <c r="K220" s="9" t="n"/>
      <c r="L220" s="9">
        <f>IF(G220="","",G220-(I220*Settings!$B$4)-(J220*0.1)-K220)</f>
        <v/>
      </c>
      <c r="M220" s="10">
        <f>IF(H220="Paid","✔","")</f>
        <v/>
      </c>
    </row>
    <row r="221">
      <c r="A221" s="12" t="n"/>
      <c r="B221" s="10" t="n"/>
      <c r="C221" s="10" t="n"/>
      <c r="D221" s="10" t="n"/>
      <c r="E221" s="10" t="n"/>
      <c r="F221" s="9" t="n"/>
      <c r="G221" s="9" t="n"/>
      <c r="H221" s="10" t="n"/>
      <c r="I221" s="13" t="n"/>
      <c r="J221" s="10" t="n"/>
      <c r="K221" s="9" t="n"/>
      <c r="L221" s="9">
        <f>IF(G221="","",G221-(I221*Settings!$B$4)-(J221*0.1)-K221)</f>
        <v/>
      </c>
      <c r="M221" s="10">
        <f>IF(H221="Paid","✔","")</f>
        <v/>
      </c>
    </row>
    <row r="222">
      <c r="A222" s="12" t="n"/>
      <c r="B222" s="10" t="n"/>
      <c r="C222" s="10" t="n"/>
      <c r="D222" s="10" t="n"/>
      <c r="E222" s="10" t="n"/>
      <c r="F222" s="9" t="n"/>
      <c r="G222" s="9" t="n"/>
      <c r="H222" s="10" t="n"/>
      <c r="I222" s="13" t="n"/>
      <c r="J222" s="10" t="n"/>
      <c r="K222" s="9" t="n"/>
      <c r="L222" s="9">
        <f>IF(G222="","",G222-(I222*Settings!$B$4)-(J222*0.1)-K222)</f>
        <v/>
      </c>
      <c r="M222" s="10">
        <f>IF(H222="Paid","✔","")</f>
        <v/>
      </c>
    </row>
    <row r="223">
      <c r="A223" s="12" t="n"/>
      <c r="B223" s="10" t="n"/>
      <c r="C223" s="10" t="n"/>
      <c r="D223" s="10" t="n"/>
      <c r="E223" s="10" t="n"/>
      <c r="F223" s="9" t="n"/>
      <c r="G223" s="9" t="n"/>
      <c r="H223" s="10" t="n"/>
      <c r="I223" s="13" t="n"/>
      <c r="J223" s="10" t="n"/>
      <c r="K223" s="9" t="n"/>
      <c r="L223" s="9">
        <f>IF(G223="","",G223-(I223*Settings!$B$4)-(J223*0.1)-K223)</f>
        <v/>
      </c>
      <c r="M223" s="10">
        <f>IF(H223="Paid","✔","")</f>
        <v/>
      </c>
    </row>
    <row r="224">
      <c r="A224" s="12" t="n"/>
      <c r="B224" s="10" t="n"/>
      <c r="C224" s="10" t="n"/>
      <c r="D224" s="10" t="n"/>
      <c r="E224" s="10" t="n"/>
      <c r="F224" s="9" t="n"/>
      <c r="G224" s="9" t="n"/>
      <c r="H224" s="10" t="n"/>
      <c r="I224" s="13" t="n"/>
      <c r="J224" s="10" t="n"/>
      <c r="K224" s="9" t="n"/>
      <c r="L224" s="9">
        <f>IF(G224="","",G224-(I224*Settings!$B$4)-(J224*0.1)-K224)</f>
        <v/>
      </c>
      <c r="M224" s="10">
        <f>IF(H224="Paid","✔","")</f>
        <v/>
      </c>
    </row>
    <row r="225">
      <c r="A225" s="12" t="n"/>
      <c r="B225" s="10" t="n"/>
      <c r="C225" s="10" t="n"/>
      <c r="D225" s="10" t="n"/>
      <c r="E225" s="10" t="n"/>
      <c r="F225" s="9" t="n"/>
      <c r="G225" s="9" t="n"/>
      <c r="H225" s="10" t="n"/>
      <c r="I225" s="13" t="n"/>
      <c r="J225" s="10" t="n"/>
      <c r="K225" s="9" t="n"/>
      <c r="L225" s="9">
        <f>IF(G225="","",G225-(I225*Settings!$B$4)-(J225*0.1)-K225)</f>
        <v/>
      </c>
      <c r="M225" s="10">
        <f>IF(H225="Paid","✔","")</f>
        <v/>
      </c>
    </row>
    <row r="226">
      <c r="A226" s="12" t="n"/>
      <c r="B226" s="10" t="n"/>
      <c r="C226" s="10" t="n"/>
      <c r="D226" s="10" t="n"/>
      <c r="E226" s="10" t="n"/>
      <c r="F226" s="9" t="n"/>
      <c r="G226" s="9" t="n"/>
      <c r="H226" s="10" t="n"/>
      <c r="I226" s="13" t="n"/>
      <c r="J226" s="10" t="n"/>
      <c r="K226" s="9" t="n"/>
      <c r="L226" s="9">
        <f>IF(G226="","",G226-(I226*Settings!$B$4)-(J226*0.1)-K226)</f>
        <v/>
      </c>
      <c r="M226" s="10">
        <f>IF(H226="Paid","✔","")</f>
        <v/>
      </c>
    </row>
    <row r="227">
      <c r="A227" s="12" t="n"/>
      <c r="B227" s="10" t="n"/>
      <c r="C227" s="10" t="n"/>
      <c r="D227" s="10" t="n"/>
      <c r="E227" s="10" t="n"/>
      <c r="F227" s="9" t="n"/>
      <c r="G227" s="9" t="n"/>
      <c r="H227" s="10" t="n"/>
      <c r="I227" s="13" t="n"/>
      <c r="J227" s="10" t="n"/>
      <c r="K227" s="9" t="n"/>
      <c r="L227" s="9">
        <f>IF(G227="","",G227-(I227*Settings!$B$4)-(J227*0.1)-K227)</f>
        <v/>
      </c>
      <c r="M227" s="10">
        <f>IF(H227="Paid","✔","")</f>
        <v/>
      </c>
    </row>
    <row r="228">
      <c r="A228" s="12" t="n"/>
      <c r="B228" s="10" t="n"/>
      <c r="C228" s="10" t="n"/>
      <c r="D228" s="10" t="n"/>
      <c r="E228" s="10" t="n"/>
      <c r="F228" s="9" t="n"/>
      <c r="G228" s="9" t="n"/>
      <c r="H228" s="10" t="n"/>
      <c r="I228" s="13" t="n"/>
      <c r="J228" s="10" t="n"/>
      <c r="K228" s="9" t="n"/>
      <c r="L228" s="9">
        <f>IF(G228="","",G228-(I228*Settings!$B$4)-(J228*0.1)-K228)</f>
        <v/>
      </c>
      <c r="M228" s="10">
        <f>IF(H228="Paid","✔","")</f>
        <v/>
      </c>
    </row>
    <row r="229">
      <c r="A229" s="12" t="n"/>
      <c r="B229" s="10" t="n"/>
      <c r="C229" s="10" t="n"/>
      <c r="D229" s="10" t="n"/>
      <c r="E229" s="10" t="n"/>
      <c r="F229" s="9" t="n"/>
      <c r="G229" s="9" t="n"/>
      <c r="H229" s="10" t="n"/>
      <c r="I229" s="13" t="n"/>
      <c r="J229" s="10" t="n"/>
      <c r="K229" s="9" t="n"/>
      <c r="L229" s="9">
        <f>IF(G229="","",G229-(I229*Settings!$B$4)-(J229*0.1)-K229)</f>
        <v/>
      </c>
      <c r="M229" s="10">
        <f>IF(H229="Paid","✔","")</f>
        <v/>
      </c>
    </row>
    <row r="230">
      <c r="A230" s="12" t="n"/>
      <c r="B230" s="10" t="n"/>
      <c r="C230" s="10" t="n"/>
      <c r="D230" s="10" t="n"/>
      <c r="E230" s="10" t="n"/>
      <c r="F230" s="9" t="n"/>
      <c r="G230" s="9" t="n"/>
      <c r="H230" s="10" t="n"/>
      <c r="I230" s="13" t="n"/>
      <c r="J230" s="10" t="n"/>
      <c r="K230" s="9" t="n"/>
      <c r="L230" s="9">
        <f>IF(G230="","",G230-(I230*Settings!$B$4)-(J230*0.1)-K230)</f>
        <v/>
      </c>
      <c r="M230" s="10">
        <f>IF(H230="Paid","✔","")</f>
        <v/>
      </c>
    </row>
    <row r="231">
      <c r="A231" s="12" t="n"/>
      <c r="B231" s="10" t="n"/>
      <c r="C231" s="10" t="n"/>
      <c r="D231" s="10" t="n"/>
      <c r="E231" s="10" t="n"/>
      <c r="F231" s="9" t="n"/>
      <c r="G231" s="9" t="n"/>
      <c r="H231" s="10" t="n"/>
      <c r="I231" s="13" t="n"/>
      <c r="J231" s="10" t="n"/>
      <c r="K231" s="9" t="n"/>
      <c r="L231" s="9">
        <f>IF(G231="","",G231-(I231*Settings!$B$4)-(J231*0.1)-K231)</f>
        <v/>
      </c>
      <c r="M231" s="10">
        <f>IF(H231="Paid","✔","")</f>
        <v/>
      </c>
    </row>
    <row r="232">
      <c r="A232" s="12" t="n"/>
      <c r="B232" s="10" t="n"/>
      <c r="C232" s="10" t="n"/>
      <c r="D232" s="10" t="n"/>
      <c r="E232" s="10" t="n"/>
      <c r="F232" s="9" t="n"/>
      <c r="G232" s="9" t="n"/>
      <c r="H232" s="10" t="n"/>
      <c r="I232" s="13" t="n"/>
      <c r="J232" s="10" t="n"/>
      <c r="K232" s="9" t="n"/>
      <c r="L232" s="9">
        <f>IF(G232="","",G232-(I232*Settings!$B$4)-(J232*0.1)-K232)</f>
        <v/>
      </c>
      <c r="M232" s="10">
        <f>IF(H232="Paid","✔","")</f>
        <v/>
      </c>
    </row>
    <row r="233">
      <c r="A233" s="12" t="n"/>
      <c r="B233" s="10" t="n"/>
      <c r="C233" s="10" t="n"/>
      <c r="D233" s="10" t="n"/>
      <c r="E233" s="10" t="n"/>
      <c r="F233" s="9" t="n"/>
      <c r="G233" s="9" t="n"/>
      <c r="H233" s="10" t="n"/>
      <c r="I233" s="13" t="n"/>
      <c r="J233" s="10" t="n"/>
      <c r="K233" s="9" t="n"/>
      <c r="L233" s="9">
        <f>IF(G233="","",G233-(I233*Settings!$B$4)-(J233*0.1)-K233)</f>
        <v/>
      </c>
      <c r="M233" s="10">
        <f>IF(H233="Paid","✔","")</f>
        <v/>
      </c>
    </row>
    <row r="234">
      <c r="A234" s="12" t="n"/>
      <c r="B234" s="10" t="n"/>
      <c r="C234" s="10" t="n"/>
      <c r="D234" s="10" t="n"/>
      <c r="E234" s="10" t="n"/>
      <c r="F234" s="9" t="n"/>
      <c r="G234" s="9" t="n"/>
      <c r="H234" s="10" t="n"/>
      <c r="I234" s="13" t="n"/>
      <c r="J234" s="10" t="n"/>
      <c r="K234" s="9" t="n"/>
      <c r="L234" s="9">
        <f>IF(G234="","",G234-(I234*Settings!$B$4)-(J234*0.1)-K234)</f>
        <v/>
      </c>
      <c r="M234" s="10">
        <f>IF(H234="Paid","✔","")</f>
        <v/>
      </c>
    </row>
    <row r="235">
      <c r="A235" s="12" t="n"/>
      <c r="B235" s="10" t="n"/>
      <c r="C235" s="10" t="n"/>
      <c r="D235" s="10" t="n"/>
      <c r="E235" s="10" t="n"/>
      <c r="F235" s="9" t="n"/>
      <c r="G235" s="9" t="n"/>
      <c r="H235" s="10" t="n"/>
      <c r="I235" s="13" t="n"/>
      <c r="J235" s="10" t="n"/>
      <c r="K235" s="9" t="n"/>
      <c r="L235" s="9">
        <f>IF(G235="","",G235-(I235*Settings!$B$4)-(J235*0.1)-K235)</f>
        <v/>
      </c>
      <c r="M235" s="10">
        <f>IF(H235="Paid","✔","")</f>
        <v/>
      </c>
    </row>
    <row r="236">
      <c r="A236" s="12" t="n"/>
      <c r="B236" s="10" t="n"/>
      <c r="C236" s="10" t="n"/>
      <c r="D236" s="10" t="n"/>
      <c r="E236" s="10" t="n"/>
      <c r="F236" s="9" t="n"/>
      <c r="G236" s="9" t="n"/>
      <c r="H236" s="10" t="n"/>
      <c r="I236" s="13" t="n"/>
      <c r="J236" s="10" t="n"/>
      <c r="K236" s="9" t="n"/>
      <c r="L236" s="9">
        <f>IF(G236="","",G236-(I236*Settings!$B$4)-(J236*0.1)-K236)</f>
        <v/>
      </c>
      <c r="M236" s="10">
        <f>IF(H236="Paid","✔","")</f>
        <v/>
      </c>
    </row>
    <row r="237">
      <c r="A237" s="12" t="n"/>
      <c r="B237" s="10" t="n"/>
      <c r="C237" s="10" t="n"/>
      <c r="D237" s="10" t="n"/>
      <c r="E237" s="10" t="n"/>
      <c r="F237" s="9" t="n"/>
      <c r="G237" s="9" t="n"/>
      <c r="H237" s="10" t="n"/>
      <c r="I237" s="13" t="n"/>
      <c r="J237" s="10" t="n"/>
      <c r="K237" s="9" t="n"/>
      <c r="L237" s="9">
        <f>IF(G237="","",G237-(I237*Settings!$B$4)-(J237*0.1)-K237)</f>
        <v/>
      </c>
      <c r="M237" s="10">
        <f>IF(H237="Paid","✔","")</f>
        <v/>
      </c>
    </row>
    <row r="238">
      <c r="A238" s="12" t="n"/>
      <c r="B238" s="10" t="n"/>
      <c r="C238" s="10" t="n"/>
      <c r="D238" s="10" t="n"/>
      <c r="E238" s="10" t="n"/>
      <c r="F238" s="9" t="n"/>
      <c r="G238" s="9" t="n"/>
      <c r="H238" s="10" t="n"/>
      <c r="I238" s="13" t="n"/>
      <c r="J238" s="10" t="n"/>
      <c r="K238" s="9" t="n"/>
      <c r="L238" s="9">
        <f>IF(G238="","",G238-(I238*Settings!$B$4)-(J238*0.1)-K238)</f>
        <v/>
      </c>
      <c r="M238" s="10">
        <f>IF(H238="Paid","✔","")</f>
        <v/>
      </c>
    </row>
    <row r="239">
      <c r="A239" s="12" t="n"/>
      <c r="B239" s="10" t="n"/>
      <c r="C239" s="10" t="n"/>
      <c r="D239" s="10" t="n"/>
      <c r="E239" s="10" t="n"/>
      <c r="F239" s="9" t="n"/>
      <c r="G239" s="9" t="n"/>
      <c r="H239" s="10" t="n"/>
      <c r="I239" s="13" t="n"/>
      <c r="J239" s="10" t="n"/>
      <c r="K239" s="9" t="n"/>
      <c r="L239" s="9">
        <f>IF(G239="","",G239-(I239*Settings!$B$4)-(J239*0.1)-K239)</f>
        <v/>
      </c>
      <c r="M239" s="10">
        <f>IF(H239="Paid","✔","")</f>
        <v/>
      </c>
    </row>
    <row r="240">
      <c r="A240" s="12" t="n"/>
      <c r="B240" s="10" t="n"/>
      <c r="C240" s="10" t="n"/>
      <c r="D240" s="10" t="n"/>
      <c r="E240" s="10" t="n"/>
      <c r="F240" s="9" t="n"/>
      <c r="G240" s="9" t="n"/>
      <c r="H240" s="10" t="n"/>
      <c r="I240" s="13" t="n"/>
      <c r="J240" s="10" t="n"/>
      <c r="K240" s="9" t="n"/>
      <c r="L240" s="9">
        <f>IF(G240="","",G240-(I240*Settings!$B$4)-(J240*0.1)-K240)</f>
        <v/>
      </c>
      <c r="M240" s="10">
        <f>IF(H240="Paid","✔","")</f>
        <v/>
      </c>
    </row>
    <row r="241">
      <c r="A241" s="12" t="n"/>
      <c r="B241" s="10" t="n"/>
      <c r="C241" s="10" t="n"/>
      <c r="D241" s="10" t="n"/>
      <c r="E241" s="10" t="n"/>
      <c r="F241" s="9" t="n"/>
      <c r="G241" s="9" t="n"/>
      <c r="H241" s="10" t="n"/>
      <c r="I241" s="13" t="n"/>
      <c r="J241" s="10" t="n"/>
      <c r="K241" s="9" t="n"/>
      <c r="L241" s="9">
        <f>IF(G241="","",G241-(I241*Settings!$B$4)-(J241*0.1)-K241)</f>
        <v/>
      </c>
      <c r="M241" s="10">
        <f>IF(H241="Paid","✔","")</f>
        <v/>
      </c>
    </row>
    <row r="242">
      <c r="A242" s="12" t="n"/>
      <c r="B242" s="10" t="n"/>
      <c r="C242" s="10" t="n"/>
      <c r="D242" s="10" t="n"/>
      <c r="E242" s="10" t="n"/>
      <c r="F242" s="9" t="n"/>
      <c r="G242" s="9" t="n"/>
      <c r="H242" s="10" t="n"/>
      <c r="I242" s="13" t="n"/>
      <c r="J242" s="10" t="n"/>
      <c r="K242" s="9" t="n"/>
      <c r="L242" s="9">
        <f>IF(G242="","",G242-(I242*Settings!$B$4)-(J242*0.1)-K242)</f>
        <v/>
      </c>
      <c r="M242" s="10">
        <f>IF(H242="Paid","✔","")</f>
        <v/>
      </c>
    </row>
    <row r="243">
      <c r="A243" s="12" t="n"/>
      <c r="B243" s="10" t="n"/>
      <c r="C243" s="10" t="n"/>
      <c r="D243" s="10" t="n"/>
      <c r="E243" s="10" t="n"/>
      <c r="F243" s="9" t="n"/>
      <c r="G243" s="9" t="n"/>
      <c r="H243" s="10" t="n"/>
      <c r="I243" s="13" t="n"/>
      <c r="J243" s="10" t="n"/>
      <c r="K243" s="9" t="n"/>
      <c r="L243" s="9">
        <f>IF(G243="","",G243-(I243*Settings!$B$4)-(J243*0.1)-K243)</f>
        <v/>
      </c>
      <c r="M243" s="10">
        <f>IF(H243="Paid","✔","")</f>
        <v/>
      </c>
    </row>
    <row r="244">
      <c r="A244" s="12" t="n"/>
      <c r="B244" s="10" t="n"/>
      <c r="C244" s="10" t="n"/>
      <c r="D244" s="10" t="n"/>
      <c r="E244" s="10" t="n"/>
      <c r="F244" s="9" t="n"/>
      <c r="G244" s="9" t="n"/>
      <c r="H244" s="10" t="n"/>
      <c r="I244" s="13" t="n"/>
      <c r="J244" s="10" t="n"/>
      <c r="K244" s="9" t="n"/>
      <c r="L244" s="9">
        <f>IF(G244="","",G244-(I244*Settings!$B$4)-(J244*0.1)-K244)</f>
        <v/>
      </c>
      <c r="M244" s="10">
        <f>IF(H244="Paid","✔","")</f>
        <v/>
      </c>
    </row>
    <row r="245">
      <c r="A245" s="12" t="n"/>
      <c r="B245" s="10" t="n"/>
      <c r="C245" s="10" t="n"/>
      <c r="D245" s="10" t="n"/>
      <c r="E245" s="10" t="n"/>
      <c r="F245" s="9" t="n"/>
      <c r="G245" s="9" t="n"/>
      <c r="H245" s="10" t="n"/>
      <c r="I245" s="13" t="n"/>
      <c r="J245" s="10" t="n"/>
      <c r="K245" s="9" t="n"/>
      <c r="L245" s="9">
        <f>IF(G245="","",G245-(I245*Settings!$B$4)-(J245*0.1)-K245)</f>
        <v/>
      </c>
      <c r="M245" s="10">
        <f>IF(H245="Paid","✔","")</f>
        <v/>
      </c>
    </row>
    <row r="246">
      <c r="A246" s="12" t="n"/>
      <c r="B246" s="10" t="n"/>
      <c r="C246" s="10" t="n"/>
      <c r="D246" s="10" t="n"/>
      <c r="E246" s="10" t="n"/>
      <c r="F246" s="9" t="n"/>
      <c r="G246" s="9" t="n"/>
      <c r="H246" s="10" t="n"/>
      <c r="I246" s="13" t="n"/>
      <c r="J246" s="10" t="n"/>
      <c r="K246" s="9" t="n"/>
      <c r="L246" s="9">
        <f>IF(G246="","",G246-(I246*Settings!$B$4)-(J246*0.1)-K246)</f>
        <v/>
      </c>
      <c r="M246" s="10">
        <f>IF(H246="Paid","✔","")</f>
        <v/>
      </c>
    </row>
    <row r="247">
      <c r="A247" s="12" t="n"/>
      <c r="B247" s="10" t="n"/>
      <c r="C247" s="10" t="n"/>
      <c r="D247" s="10" t="n"/>
      <c r="E247" s="10" t="n"/>
      <c r="F247" s="9" t="n"/>
      <c r="G247" s="9" t="n"/>
      <c r="H247" s="10" t="n"/>
      <c r="I247" s="13" t="n"/>
      <c r="J247" s="10" t="n"/>
      <c r="K247" s="9" t="n"/>
      <c r="L247" s="9">
        <f>IF(G247="","",G247-(I247*Settings!$B$4)-(J247*0.1)-K247)</f>
        <v/>
      </c>
      <c r="M247" s="10">
        <f>IF(H247="Paid","✔","")</f>
        <v/>
      </c>
    </row>
    <row r="248">
      <c r="A248" s="12" t="n"/>
      <c r="B248" s="10" t="n"/>
      <c r="C248" s="10" t="n"/>
      <c r="D248" s="10" t="n"/>
      <c r="E248" s="10" t="n"/>
      <c r="F248" s="9" t="n"/>
      <c r="G248" s="9" t="n"/>
      <c r="H248" s="10" t="n"/>
      <c r="I248" s="13" t="n"/>
      <c r="J248" s="10" t="n"/>
      <c r="K248" s="9" t="n"/>
      <c r="L248" s="9">
        <f>IF(G248="","",G248-(I248*Settings!$B$4)-(J248*0.1)-K248)</f>
        <v/>
      </c>
      <c r="M248" s="10">
        <f>IF(H248="Paid","✔","")</f>
        <v/>
      </c>
    </row>
    <row r="249">
      <c r="A249" s="12" t="n"/>
      <c r="B249" s="10" t="n"/>
      <c r="C249" s="10" t="n"/>
      <c r="D249" s="10" t="n"/>
      <c r="E249" s="10" t="n"/>
      <c r="F249" s="9" t="n"/>
      <c r="G249" s="9" t="n"/>
      <c r="H249" s="10" t="n"/>
      <c r="I249" s="13" t="n"/>
      <c r="J249" s="10" t="n"/>
      <c r="K249" s="9" t="n"/>
      <c r="L249" s="9">
        <f>IF(G249="","",G249-(I249*Settings!$B$4)-(J249*0.1)-K249)</f>
        <v/>
      </c>
      <c r="M249" s="10">
        <f>IF(H249="Paid","✔","")</f>
        <v/>
      </c>
    </row>
    <row r="250">
      <c r="A250" s="12" t="n"/>
      <c r="B250" s="10" t="n"/>
      <c r="C250" s="10" t="n"/>
      <c r="D250" s="10" t="n"/>
      <c r="E250" s="10" t="n"/>
      <c r="F250" s="9" t="n"/>
      <c r="G250" s="9" t="n"/>
      <c r="H250" s="10" t="n"/>
      <c r="I250" s="13" t="n"/>
      <c r="J250" s="10" t="n"/>
      <c r="K250" s="9" t="n"/>
      <c r="L250" s="9">
        <f>IF(G250="","",G250-(I250*Settings!$B$4)-(J250*0.1)-K250)</f>
        <v/>
      </c>
      <c r="M250" s="10">
        <f>IF(H250="Paid","✔","")</f>
        <v/>
      </c>
    </row>
    <row r="251">
      <c r="A251" s="12" t="n"/>
      <c r="B251" s="10" t="n"/>
      <c r="C251" s="10" t="n"/>
      <c r="D251" s="10" t="n"/>
      <c r="E251" s="10" t="n"/>
      <c r="F251" s="9" t="n"/>
      <c r="G251" s="9" t="n"/>
      <c r="H251" s="10" t="n"/>
      <c r="I251" s="13" t="n"/>
      <c r="J251" s="10" t="n"/>
      <c r="K251" s="9" t="n"/>
      <c r="L251" s="9">
        <f>IF(G251="","",G251-(I251*Settings!$B$4)-(J251*0.1)-K251)</f>
        <v/>
      </c>
      <c r="M251" s="10">
        <f>IF(H251="Paid","✔","")</f>
        <v/>
      </c>
    </row>
    <row r="252">
      <c r="A252" s="12" t="n"/>
      <c r="B252" s="10" t="n"/>
      <c r="C252" s="10" t="n"/>
      <c r="D252" s="10" t="n"/>
      <c r="E252" s="10" t="n"/>
      <c r="F252" s="9" t="n"/>
      <c r="G252" s="9" t="n"/>
      <c r="H252" s="10" t="n"/>
      <c r="I252" s="13" t="n"/>
      <c r="J252" s="10" t="n"/>
      <c r="K252" s="9" t="n"/>
      <c r="L252" s="9">
        <f>IF(G252="","",G252-(I252*Settings!$B$4)-(J252*0.1)-K252)</f>
        <v/>
      </c>
      <c r="M252" s="10">
        <f>IF(H252="Paid","✔","")</f>
        <v/>
      </c>
    </row>
    <row r="253">
      <c r="A253" s="12" t="n"/>
      <c r="B253" s="10" t="n"/>
      <c r="C253" s="10" t="n"/>
      <c r="D253" s="10" t="n"/>
      <c r="E253" s="10" t="n"/>
      <c r="F253" s="9" t="n"/>
      <c r="G253" s="9" t="n"/>
      <c r="H253" s="10" t="n"/>
      <c r="I253" s="13" t="n"/>
      <c r="J253" s="10" t="n"/>
      <c r="K253" s="9" t="n"/>
      <c r="L253" s="9">
        <f>IF(G253="","",G253-(I253*Settings!$B$4)-(J253*0.1)-K253)</f>
        <v/>
      </c>
      <c r="M253" s="10">
        <f>IF(H253="Paid","✔","")</f>
        <v/>
      </c>
    </row>
    <row r="254">
      <c r="A254" s="12" t="n"/>
      <c r="B254" s="10" t="n"/>
      <c r="C254" s="10" t="n"/>
      <c r="D254" s="10" t="n"/>
      <c r="E254" s="10" t="n"/>
      <c r="F254" s="9" t="n"/>
      <c r="G254" s="9" t="n"/>
      <c r="H254" s="10" t="n"/>
      <c r="I254" s="13" t="n"/>
      <c r="J254" s="10" t="n"/>
      <c r="K254" s="9" t="n"/>
      <c r="L254" s="9">
        <f>IF(G254="","",G254-(I254*Settings!$B$4)-(J254*0.1)-K254)</f>
        <v/>
      </c>
      <c r="M254" s="10">
        <f>IF(H254="Paid","✔","")</f>
        <v/>
      </c>
    </row>
    <row r="255">
      <c r="A255" s="12" t="n"/>
      <c r="B255" s="10" t="n"/>
      <c r="C255" s="10" t="n"/>
      <c r="D255" s="10" t="n"/>
      <c r="E255" s="10" t="n"/>
      <c r="F255" s="9" t="n"/>
      <c r="G255" s="9" t="n"/>
      <c r="H255" s="10" t="n"/>
      <c r="I255" s="13" t="n"/>
      <c r="J255" s="10" t="n"/>
      <c r="K255" s="9" t="n"/>
      <c r="L255" s="9">
        <f>IF(G255="","",G255-(I255*Settings!$B$4)-(J255*0.1)-K255)</f>
        <v/>
      </c>
      <c r="M255" s="10">
        <f>IF(H255="Paid","✔","")</f>
        <v/>
      </c>
    </row>
    <row r="256">
      <c r="A256" s="12" t="n"/>
      <c r="B256" s="10" t="n"/>
      <c r="C256" s="10" t="n"/>
      <c r="D256" s="10" t="n"/>
      <c r="E256" s="10" t="n"/>
      <c r="F256" s="9" t="n"/>
      <c r="G256" s="9" t="n"/>
      <c r="H256" s="10" t="n"/>
      <c r="I256" s="13" t="n"/>
      <c r="J256" s="10" t="n"/>
      <c r="K256" s="9" t="n"/>
      <c r="L256" s="9">
        <f>IF(G256="","",G256-(I256*Settings!$B$4)-(J256*0.1)-K256)</f>
        <v/>
      </c>
      <c r="M256" s="10">
        <f>IF(H256="Paid","✔","")</f>
        <v/>
      </c>
    </row>
    <row r="257">
      <c r="A257" s="12" t="n"/>
      <c r="B257" s="10" t="n"/>
      <c r="C257" s="10" t="n"/>
      <c r="D257" s="10" t="n"/>
      <c r="E257" s="10" t="n"/>
      <c r="F257" s="9" t="n"/>
      <c r="G257" s="9" t="n"/>
      <c r="H257" s="10" t="n"/>
      <c r="I257" s="13" t="n"/>
      <c r="J257" s="10" t="n"/>
      <c r="K257" s="9" t="n"/>
      <c r="L257" s="9">
        <f>IF(G257="","",G257-(I257*Settings!$B$4)-(J257*0.1)-K257)</f>
        <v/>
      </c>
      <c r="M257" s="10">
        <f>IF(H257="Paid","✔","")</f>
        <v/>
      </c>
    </row>
    <row r="258">
      <c r="A258" s="12" t="n"/>
      <c r="B258" s="10" t="n"/>
      <c r="C258" s="10" t="n"/>
      <c r="D258" s="10" t="n"/>
      <c r="E258" s="10" t="n"/>
      <c r="F258" s="9" t="n"/>
      <c r="G258" s="9" t="n"/>
      <c r="H258" s="10" t="n"/>
      <c r="I258" s="13" t="n"/>
      <c r="J258" s="10" t="n"/>
      <c r="K258" s="9" t="n"/>
      <c r="L258" s="9">
        <f>IF(G258="","",G258-(I258*Settings!$B$4)-(J258*0.1)-K258)</f>
        <v/>
      </c>
      <c r="M258" s="10">
        <f>IF(H258="Paid","✔","")</f>
        <v/>
      </c>
    </row>
    <row r="259">
      <c r="A259" s="12" t="n"/>
      <c r="B259" s="10" t="n"/>
      <c r="C259" s="10" t="n"/>
      <c r="D259" s="10" t="n"/>
      <c r="E259" s="10" t="n"/>
      <c r="F259" s="9" t="n"/>
      <c r="G259" s="9" t="n"/>
      <c r="H259" s="10" t="n"/>
      <c r="I259" s="13" t="n"/>
      <c r="J259" s="10" t="n"/>
      <c r="K259" s="9" t="n"/>
      <c r="L259" s="9">
        <f>IF(G259="","",G259-(I259*Settings!$B$4)-(J259*0.1)-K259)</f>
        <v/>
      </c>
      <c r="M259" s="10">
        <f>IF(H259="Paid","✔","")</f>
        <v/>
      </c>
    </row>
    <row r="260">
      <c r="A260" s="12" t="n"/>
      <c r="B260" s="10" t="n"/>
      <c r="C260" s="10" t="n"/>
      <c r="D260" s="10" t="n"/>
      <c r="E260" s="10" t="n"/>
      <c r="F260" s="9" t="n"/>
      <c r="G260" s="9" t="n"/>
      <c r="H260" s="10" t="n"/>
      <c r="I260" s="13" t="n"/>
      <c r="J260" s="10" t="n"/>
      <c r="K260" s="9" t="n"/>
      <c r="L260" s="9">
        <f>IF(G260="","",G260-(I260*Settings!$B$4)-(J260*0.1)-K260)</f>
        <v/>
      </c>
      <c r="M260" s="10">
        <f>IF(H260="Paid","✔","")</f>
        <v/>
      </c>
    </row>
    <row r="261">
      <c r="A261" s="12" t="n"/>
      <c r="B261" s="10" t="n"/>
      <c r="C261" s="10" t="n"/>
      <c r="D261" s="10" t="n"/>
      <c r="E261" s="10" t="n"/>
      <c r="F261" s="9" t="n"/>
      <c r="G261" s="9" t="n"/>
      <c r="H261" s="10" t="n"/>
      <c r="I261" s="13" t="n"/>
      <c r="J261" s="10" t="n"/>
      <c r="K261" s="9" t="n"/>
      <c r="L261" s="9">
        <f>IF(G261="","",G261-(I261*Settings!$B$4)-(J261*0.1)-K261)</f>
        <v/>
      </c>
      <c r="M261" s="10">
        <f>IF(H261="Paid","✔","")</f>
        <v/>
      </c>
    </row>
    <row r="262">
      <c r="A262" s="12" t="n"/>
      <c r="B262" s="10" t="n"/>
      <c r="C262" s="10" t="n"/>
      <c r="D262" s="10" t="n"/>
      <c r="E262" s="10" t="n"/>
      <c r="F262" s="9" t="n"/>
      <c r="G262" s="9" t="n"/>
      <c r="H262" s="10" t="n"/>
      <c r="I262" s="13" t="n"/>
      <c r="J262" s="10" t="n"/>
      <c r="K262" s="9" t="n"/>
      <c r="L262" s="9">
        <f>IF(G262="","",G262-(I262*Settings!$B$4)-(J262*0.1)-K262)</f>
        <v/>
      </c>
      <c r="M262" s="10">
        <f>IF(H262="Paid","✔","")</f>
        <v/>
      </c>
    </row>
    <row r="263">
      <c r="A263" s="12" t="n"/>
      <c r="B263" s="10" t="n"/>
      <c r="C263" s="10" t="n"/>
      <c r="D263" s="10" t="n"/>
      <c r="E263" s="10" t="n"/>
      <c r="F263" s="9" t="n"/>
      <c r="G263" s="9" t="n"/>
      <c r="H263" s="10" t="n"/>
      <c r="I263" s="13" t="n"/>
      <c r="J263" s="10" t="n"/>
      <c r="K263" s="9" t="n"/>
      <c r="L263" s="9">
        <f>IF(G263="","",G263-(I263*Settings!$B$4)-(J263*0.1)-K263)</f>
        <v/>
      </c>
      <c r="M263" s="10">
        <f>IF(H263="Paid","✔","")</f>
        <v/>
      </c>
    </row>
    <row r="264">
      <c r="A264" s="12" t="n"/>
      <c r="B264" s="10" t="n"/>
      <c r="C264" s="10" t="n"/>
      <c r="D264" s="10" t="n"/>
      <c r="E264" s="10" t="n"/>
      <c r="F264" s="9" t="n"/>
      <c r="G264" s="9" t="n"/>
      <c r="H264" s="10" t="n"/>
      <c r="I264" s="13" t="n"/>
      <c r="J264" s="10" t="n"/>
      <c r="K264" s="9" t="n"/>
      <c r="L264" s="9">
        <f>IF(G264="","",G264-(I264*Settings!$B$4)-(J264*0.1)-K264)</f>
        <v/>
      </c>
      <c r="M264" s="10">
        <f>IF(H264="Paid","✔","")</f>
        <v/>
      </c>
    </row>
    <row r="265">
      <c r="A265" s="12" t="n"/>
      <c r="B265" s="10" t="n"/>
      <c r="C265" s="10" t="n"/>
      <c r="D265" s="10" t="n"/>
      <c r="E265" s="10" t="n"/>
      <c r="F265" s="9" t="n"/>
      <c r="G265" s="9" t="n"/>
      <c r="H265" s="10" t="n"/>
      <c r="I265" s="13" t="n"/>
      <c r="J265" s="10" t="n"/>
      <c r="K265" s="9" t="n"/>
      <c r="L265" s="9">
        <f>IF(G265="","",G265-(I265*Settings!$B$4)-(J265*0.1)-K265)</f>
        <v/>
      </c>
      <c r="M265" s="10">
        <f>IF(H265="Paid","✔","")</f>
        <v/>
      </c>
    </row>
    <row r="266">
      <c r="A266" s="12" t="n"/>
      <c r="B266" s="10" t="n"/>
      <c r="C266" s="10" t="n"/>
      <c r="D266" s="10" t="n"/>
      <c r="E266" s="10" t="n"/>
      <c r="F266" s="9" t="n"/>
      <c r="G266" s="9" t="n"/>
      <c r="H266" s="10" t="n"/>
      <c r="I266" s="13" t="n"/>
      <c r="J266" s="10" t="n"/>
      <c r="K266" s="9" t="n"/>
      <c r="L266" s="9">
        <f>IF(G266="","",G266-(I266*Settings!$B$4)-(J266*0.1)-K266)</f>
        <v/>
      </c>
      <c r="M266" s="10">
        <f>IF(H266="Paid","✔","")</f>
        <v/>
      </c>
    </row>
    <row r="267">
      <c r="A267" s="12" t="n"/>
      <c r="B267" s="10" t="n"/>
      <c r="C267" s="10" t="n"/>
      <c r="D267" s="10" t="n"/>
      <c r="E267" s="10" t="n"/>
      <c r="F267" s="9" t="n"/>
      <c r="G267" s="9" t="n"/>
      <c r="H267" s="10" t="n"/>
      <c r="I267" s="13" t="n"/>
      <c r="J267" s="10" t="n"/>
      <c r="K267" s="9" t="n"/>
      <c r="L267" s="9">
        <f>IF(G267="","",G267-(I267*Settings!$B$4)-(J267*0.1)-K267)</f>
        <v/>
      </c>
      <c r="M267" s="10">
        <f>IF(H267="Paid","✔","")</f>
        <v/>
      </c>
    </row>
    <row r="268">
      <c r="A268" s="12" t="n"/>
      <c r="B268" s="10" t="n"/>
      <c r="C268" s="10" t="n"/>
      <c r="D268" s="10" t="n"/>
      <c r="E268" s="10" t="n"/>
      <c r="F268" s="9" t="n"/>
      <c r="G268" s="9" t="n"/>
      <c r="H268" s="10" t="n"/>
      <c r="I268" s="13" t="n"/>
      <c r="J268" s="10" t="n"/>
      <c r="K268" s="9" t="n"/>
      <c r="L268" s="9">
        <f>IF(G268="","",G268-(I268*Settings!$B$4)-(J268*0.1)-K268)</f>
        <v/>
      </c>
      <c r="M268" s="10">
        <f>IF(H268="Paid","✔","")</f>
        <v/>
      </c>
    </row>
    <row r="269">
      <c r="A269" s="12" t="n"/>
      <c r="B269" s="10" t="n"/>
      <c r="C269" s="10" t="n"/>
      <c r="D269" s="10" t="n"/>
      <c r="E269" s="10" t="n"/>
      <c r="F269" s="9" t="n"/>
      <c r="G269" s="9" t="n"/>
      <c r="H269" s="10" t="n"/>
      <c r="I269" s="13" t="n"/>
      <c r="J269" s="10" t="n"/>
      <c r="K269" s="9" t="n"/>
      <c r="L269" s="9">
        <f>IF(G269="","",G269-(I269*Settings!$B$4)-(J269*0.1)-K269)</f>
        <v/>
      </c>
      <c r="M269" s="10">
        <f>IF(H269="Paid","✔","")</f>
        <v/>
      </c>
    </row>
    <row r="270">
      <c r="A270" s="12" t="n"/>
      <c r="B270" s="10" t="n"/>
      <c r="C270" s="10" t="n"/>
      <c r="D270" s="10" t="n"/>
      <c r="E270" s="10" t="n"/>
      <c r="F270" s="9" t="n"/>
      <c r="G270" s="9" t="n"/>
      <c r="H270" s="10" t="n"/>
      <c r="I270" s="13" t="n"/>
      <c r="J270" s="10" t="n"/>
      <c r="K270" s="9" t="n"/>
      <c r="L270" s="9">
        <f>IF(G270="","",G270-(I270*Settings!$B$4)-(J270*0.1)-K270)</f>
        <v/>
      </c>
      <c r="M270" s="10">
        <f>IF(H270="Paid","✔","")</f>
        <v/>
      </c>
    </row>
    <row r="271">
      <c r="A271" s="12" t="n"/>
      <c r="B271" s="10" t="n"/>
      <c r="C271" s="10" t="n"/>
      <c r="D271" s="10" t="n"/>
      <c r="E271" s="10" t="n"/>
      <c r="F271" s="9" t="n"/>
      <c r="G271" s="9" t="n"/>
      <c r="H271" s="10" t="n"/>
      <c r="I271" s="13" t="n"/>
      <c r="J271" s="10" t="n"/>
      <c r="K271" s="9" t="n"/>
      <c r="L271" s="9">
        <f>IF(G271="","",G271-(I271*Settings!$B$4)-(J271*0.1)-K271)</f>
        <v/>
      </c>
      <c r="M271" s="10">
        <f>IF(H271="Paid","✔","")</f>
        <v/>
      </c>
    </row>
    <row r="272">
      <c r="A272" s="12" t="n"/>
      <c r="B272" s="10" t="n"/>
      <c r="C272" s="10" t="n"/>
      <c r="D272" s="10" t="n"/>
      <c r="E272" s="10" t="n"/>
      <c r="F272" s="9" t="n"/>
      <c r="G272" s="9" t="n"/>
      <c r="H272" s="10" t="n"/>
      <c r="I272" s="13" t="n"/>
      <c r="J272" s="10" t="n"/>
      <c r="K272" s="9" t="n"/>
      <c r="L272" s="9">
        <f>IF(G272="","",G272-(I272*Settings!$B$4)-(J272*0.1)-K272)</f>
        <v/>
      </c>
      <c r="M272" s="10">
        <f>IF(H272="Paid","✔","")</f>
        <v/>
      </c>
    </row>
    <row r="273">
      <c r="A273" s="12" t="n"/>
      <c r="B273" s="10" t="n"/>
      <c r="C273" s="10" t="n"/>
      <c r="D273" s="10" t="n"/>
      <c r="E273" s="10" t="n"/>
      <c r="F273" s="9" t="n"/>
      <c r="G273" s="9" t="n"/>
      <c r="H273" s="10" t="n"/>
      <c r="I273" s="13" t="n"/>
      <c r="J273" s="10" t="n"/>
      <c r="K273" s="9" t="n"/>
      <c r="L273" s="9">
        <f>IF(G273="","",G273-(I273*Settings!$B$4)-(J273*0.1)-K273)</f>
        <v/>
      </c>
      <c r="M273" s="10">
        <f>IF(H273="Paid","✔","")</f>
        <v/>
      </c>
    </row>
    <row r="274">
      <c r="A274" s="12" t="n"/>
      <c r="B274" s="10" t="n"/>
      <c r="C274" s="10" t="n"/>
      <c r="D274" s="10" t="n"/>
      <c r="E274" s="10" t="n"/>
      <c r="F274" s="9" t="n"/>
      <c r="G274" s="9" t="n"/>
      <c r="H274" s="10" t="n"/>
      <c r="I274" s="13" t="n"/>
      <c r="J274" s="10" t="n"/>
      <c r="K274" s="9" t="n"/>
      <c r="L274" s="9">
        <f>IF(G274="","",G274-(I274*Settings!$B$4)-(J274*0.1)-K274)</f>
        <v/>
      </c>
      <c r="M274" s="10">
        <f>IF(H274="Paid","✔","")</f>
        <v/>
      </c>
    </row>
    <row r="275">
      <c r="A275" s="12" t="n"/>
      <c r="B275" s="10" t="n"/>
      <c r="C275" s="10" t="n"/>
      <c r="D275" s="10" t="n"/>
      <c r="E275" s="10" t="n"/>
      <c r="F275" s="9" t="n"/>
      <c r="G275" s="9" t="n"/>
      <c r="H275" s="10" t="n"/>
      <c r="I275" s="13" t="n"/>
      <c r="J275" s="10" t="n"/>
      <c r="K275" s="9" t="n"/>
      <c r="L275" s="9">
        <f>IF(G275="","",G275-(I275*Settings!$B$4)-(J275*0.1)-K275)</f>
        <v/>
      </c>
      <c r="M275" s="10">
        <f>IF(H275="Paid","✔","")</f>
        <v/>
      </c>
    </row>
    <row r="276">
      <c r="A276" s="12" t="n"/>
      <c r="B276" s="10" t="n"/>
      <c r="C276" s="10" t="n"/>
      <c r="D276" s="10" t="n"/>
      <c r="E276" s="10" t="n"/>
      <c r="F276" s="9" t="n"/>
      <c r="G276" s="9" t="n"/>
      <c r="H276" s="10" t="n"/>
      <c r="I276" s="13" t="n"/>
      <c r="J276" s="10" t="n"/>
      <c r="K276" s="9" t="n"/>
      <c r="L276" s="9">
        <f>IF(G276="","",G276-(I276*Settings!$B$4)-(J276*0.1)-K276)</f>
        <v/>
      </c>
      <c r="M276" s="10">
        <f>IF(H276="Paid","✔","")</f>
        <v/>
      </c>
    </row>
    <row r="277">
      <c r="A277" s="12" t="n"/>
      <c r="B277" s="10" t="n"/>
      <c r="C277" s="10" t="n"/>
      <c r="D277" s="10" t="n"/>
      <c r="E277" s="10" t="n"/>
      <c r="F277" s="9" t="n"/>
      <c r="G277" s="9" t="n"/>
      <c r="H277" s="10" t="n"/>
      <c r="I277" s="13" t="n"/>
      <c r="J277" s="10" t="n"/>
      <c r="K277" s="9" t="n"/>
      <c r="L277" s="9">
        <f>IF(G277="","",G277-(I277*Settings!$B$4)-(J277*0.1)-K277)</f>
        <v/>
      </c>
      <c r="M277" s="10">
        <f>IF(H277="Paid","✔","")</f>
        <v/>
      </c>
    </row>
    <row r="278">
      <c r="A278" s="12" t="n"/>
      <c r="B278" s="10" t="n"/>
      <c r="C278" s="10" t="n"/>
      <c r="D278" s="10" t="n"/>
      <c r="E278" s="10" t="n"/>
      <c r="F278" s="9" t="n"/>
      <c r="G278" s="9" t="n"/>
      <c r="H278" s="10" t="n"/>
      <c r="I278" s="13" t="n"/>
      <c r="J278" s="10" t="n"/>
      <c r="K278" s="9" t="n"/>
      <c r="L278" s="9">
        <f>IF(G278="","",G278-(I278*Settings!$B$4)-(J278*0.1)-K278)</f>
        <v/>
      </c>
      <c r="M278" s="10">
        <f>IF(H278="Paid","✔","")</f>
        <v/>
      </c>
    </row>
    <row r="279">
      <c r="A279" s="12" t="n"/>
      <c r="B279" s="10" t="n"/>
      <c r="C279" s="10" t="n"/>
      <c r="D279" s="10" t="n"/>
      <c r="E279" s="10" t="n"/>
      <c r="F279" s="9" t="n"/>
      <c r="G279" s="9" t="n"/>
      <c r="H279" s="10" t="n"/>
      <c r="I279" s="13" t="n"/>
      <c r="J279" s="10" t="n"/>
      <c r="K279" s="9" t="n"/>
      <c r="L279" s="9">
        <f>IF(G279="","",G279-(I279*Settings!$B$4)-(J279*0.1)-K279)</f>
        <v/>
      </c>
      <c r="M279" s="10">
        <f>IF(H279="Paid","✔","")</f>
        <v/>
      </c>
    </row>
    <row r="280">
      <c r="A280" s="12" t="n"/>
      <c r="B280" s="10" t="n"/>
      <c r="C280" s="10" t="n"/>
      <c r="D280" s="10" t="n"/>
      <c r="E280" s="10" t="n"/>
      <c r="F280" s="9" t="n"/>
      <c r="G280" s="9" t="n"/>
      <c r="H280" s="10" t="n"/>
      <c r="I280" s="13" t="n"/>
      <c r="J280" s="10" t="n"/>
      <c r="K280" s="9" t="n"/>
      <c r="L280" s="9">
        <f>IF(G280="","",G280-(I280*Settings!$B$4)-(J280*0.1)-K280)</f>
        <v/>
      </c>
      <c r="M280" s="10">
        <f>IF(H280="Paid","✔","")</f>
        <v/>
      </c>
    </row>
    <row r="281">
      <c r="A281" s="12" t="n"/>
      <c r="B281" s="10" t="n"/>
      <c r="C281" s="10" t="n"/>
      <c r="D281" s="10" t="n"/>
      <c r="E281" s="10" t="n"/>
      <c r="F281" s="9" t="n"/>
      <c r="G281" s="9" t="n"/>
      <c r="H281" s="10" t="n"/>
      <c r="I281" s="13" t="n"/>
      <c r="J281" s="10" t="n"/>
      <c r="K281" s="9" t="n"/>
      <c r="L281" s="9">
        <f>IF(G281="","",G281-(I281*Settings!$B$4)-(J281*0.1)-K281)</f>
        <v/>
      </c>
      <c r="M281" s="10">
        <f>IF(H281="Paid","✔","")</f>
        <v/>
      </c>
    </row>
    <row r="282">
      <c r="A282" s="12" t="n"/>
      <c r="B282" s="10" t="n"/>
      <c r="C282" s="10" t="n"/>
      <c r="D282" s="10" t="n"/>
      <c r="E282" s="10" t="n"/>
      <c r="F282" s="9" t="n"/>
      <c r="G282" s="9" t="n"/>
      <c r="H282" s="10" t="n"/>
      <c r="I282" s="13" t="n"/>
      <c r="J282" s="10" t="n"/>
      <c r="K282" s="9" t="n"/>
      <c r="L282" s="9">
        <f>IF(G282="","",G282-(I282*Settings!$B$4)-(J282*0.1)-K282)</f>
        <v/>
      </c>
      <c r="M282" s="10">
        <f>IF(H282="Paid","✔","")</f>
        <v/>
      </c>
    </row>
    <row r="283">
      <c r="A283" s="12" t="n"/>
      <c r="B283" s="10" t="n"/>
      <c r="C283" s="10" t="n"/>
      <c r="D283" s="10" t="n"/>
      <c r="E283" s="10" t="n"/>
      <c r="F283" s="9" t="n"/>
      <c r="G283" s="9" t="n"/>
      <c r="H283" s="10" t="n"/>
      <c r="I283" s="13" t="n"/>
      <c r="J283" s="10" t="n"/>
      <c r="K283" s="9" t="n"/>
      <c r="L283" s="9">
        <f>IF(G283="","",G283-(I283*Settings!$B$4)-(J283*0.1)-K283)</f>
        <v/>
      </c>
      <c r="M283" s="10">
        <f>IF(H283="Paid","✔","")</f>
        <v/>
      </c>
    </row>
    <row r="284">
      <c r="A284" s="12" t="n"/>
      <c r="B284" s="10" t="n"/>
      <c r="C284" s="10" t="n"/>
      <c r="D284" s="10" t="n"/>
      <c r="E284" s="10" t="n"/>
      <c r="F284" s="9" t="n"/>
      <c r="G284" s="9" t="n"/>
      <c r="H284" s="10" t="n"/>
      <c r="I284" s="13" t="n"/>
      <c r="J284" s="10" t="n"/>
      <c r="K284" s="9" t="n"/>
      <c r="L284" s="9">
        <f>IF(G284="","",G284-(I284*Settings!$B$4)-(J284*0.1)-K284)</f>
        <v/>
      </c>
      <c r="M284" s="10">
        <f>IF(H284="Paid","✔","")</f>
        <v/>
      </c>
    </row>
    <row r="285">
      <c r="A285" s="12" t="n"/>
      <c r="B285" s="10" t="n"/>
      <c r="C285" s="10" t="n"/>
      <c r="D285" s="10" t="n"/>
      <c r="E285" s="10" t="n"/>
      <c r="F285" s="9" t="n"/>
      <c r="G285" s="9" t="n"/>
      <c r="H285" s="10" t="n"/>
      <c r="I285" s="13" t="n"/>
      <c r="J285" s="10" t="n"/>
      <c r="K285" s="9" t="n"/>
      <c r="L285" s="9">
        <f>IF(G285="","",G285-(I285*Settings!$B$4)-(J285*0.1)-K285)</f>
        <v/>
      </c>
      <c r="M285" s="10">
        <f>IF(H285="Paid","✔","")</f>
        <v/>
      </c>
    </row>
    <row r="286">
      <c r="A286" s="12" t="n"/>
      <c r="B286" s="10" t="n"/>
      <c r="C286" s="10" t="n"/>
      <c r="D286" s="10" t="n"/>
      <c r="E286" s="10" t="n"/>
      <c r="F286" s="9" t="n"/>
      <c r="G286" s="9" t="n"/>
      <c r="H286" s="10" t="n"/>
      <c r="I286" s="13" t="n"/>
      <c r="J286" s="10" t="n"/>
      <c r="K286" s="9" t="n"/>
      <c r="L286" s="9">
        <f>IF(G286="","",G286-(I286*Settings!$B$4)-(J286*0.1)-K286)</f>
        <v/>
      </c>
      <c r="M286" s="10">
        <f>IF(H286="Paid","✔","")</f>
        <v/>
      </c>
    </row>
    <row r="287">
      <c r="A287" s="12" t="n"/>
      <c r="B287" s="10" t="n"/>
      <c r="C287" s="10" t="n"/>
      <c r="D287" s="10" t="n"/>
      <c r="E287" s="10" t="n"/>
      <c r="F287" s="9" t="n"/>
      <c r="G287" s="9" t="n"/>
      <c r="H287" s="10" t="n"/>
      <c r="I287" s="13" t="n"/>
      <c r="J287" s="10" t="n"/>
      <c r="K287" s="9" t="n"/>
      <c r="L287" s="9">
        <f>IF(G287="","",G287-(I287*Settings!$B$4)-(J287*0.1)-K287)</f>
        <v/>
      </c>
      <c r="M287" s="10">
        <f>IF(H287="Paid","✔","")</f>
        <v/>
      </c>
    </row>
    <row r="288">
      <c r="A288" s="12" t="n"/>
      <c r="B288" s="10" t="n"/>
      <c r="C288" s="10" t="n"/>
      <c r="D288" s="10" t="n"/>
      <c r="E288" s="10" t="n"/>
      <c r="F288" s="9" t="n"/>
      <c r="G288" s="9" t="n"/>
      <c r="H288" s="10" t="n"/>
      <c r="I288" s="13" t="n"/>
      <c r="J288" s="10" t="n"/>
      <c r="K288" s="9" t="n"/>
      <c r="L288" s="9">
        <f>IF(G288="","",G288-(I288*Settings!$B$4)-(J288*0.1)-K288)</f>
        <v/>
      </c>
      <c r="M288" s="10">
        <f>IF(H288="Paid","✔","")</f>
        <v/>
      </c>
    </row>
    <row r="289">
      <c r="A289" s="12" t="n"/>
      <c r="B289" s="10" t="n"/>
      <c r="C289" s="10" t="n"/>
      <c r="D289" s="10" t="n"/>
      <c r="E289" s="10" t="n"/>
      <c r="F289" s="9" t="n"/>
      <c r="G289" s="9" t="n"/>
      <c r="H289" s="10" t="n"/>
      <c r="I289" s="13" t="n"/>
      <c r="J289" s="10" t="n"/>
      <c r="K289" s="9" t="n"/>
      <c r="L289" s="9">
        <f>IF(G289="","",G289-(I289*Settings!$B$4)-(J289*0.1)-K289)</f>
        <v/>
      </c>
      <c r="M289" s="10">
        <f>IF(H289="Paid","✔","")</f>
        <v/>
      </c>
    </row>
    <row r="290">
      <c r="A290" s="12" t="n"/>
      <c r="B290" s="10" t="n"/>
      <c r="C290" s="10" t="n"/>
      <c r="D290" s="10" t="n"/>
      <c r="E290" s="10" t="n"/>
      <c r="F290" s="9" t="n"/>
      <c r="G290" s="9" t="n"/>
      <c r="H290" s="10" t="n"/>
      <c r="I290" s="13" t="n"/>
      <c r="J290" s="10" t="n"/>
      <c r="K290" s="9" t="n"/>
      <c r="L290" s="9">
        <f>IF(G290="","",G290-(I290*Settings!$B$4)-(J290*0.1)-K290)</f>
        <v/>
      </c>
      <c r="M290" s="10">
        <f>IF(H290="Paid","✔","")</f>
        <v/>
      </c>
    </row>
    <row r="291">
      <c r="A291" s="12" t="n"/>
      <c r="B291" s="10" t="n"/>
      <c r="C291" s="10" t="n"/>
      <c r="D291" s="10" t="n"/>
      <c r="E291" s="10" t="n"/>
      <c r="F291" s="9" t="n"/>
      <c r="G291" s="9" t="n"/>
      <c r="H291" s="10" t="n"/>
      <c r="I291" s="13" t="n"/>
      <c r="J291" s="10" t="n"/>
      <c r="K291" s="9" t="n"/>
      <c r="L291" s="9">
        <f>IF(G291="","",G291-(I291*Settings!$B$4)-(J291*0.1)-K291)</f>
        <v/>
      </c>
      <c r="M291" s="10">
        <f>IF(H291="Paid","✔","")</f>
        <v/>
      </c>
    </row>
    <row r="292">
      <c r="A292" s="12" t="n"/>
      <c r="B292" s="10" t="n"/>
      <c r="C292" s="10" t="n"/>
      <c r="D292" s="10" t="n"/>
      <c r="E292" s="10" t="n"/>
      <c r="F292" s="9" t="n"/>
      <c r="G292" s="9" t="n"/>
      <c r="H292" s="10" t="n"/>
      <c r="I292" s="13" t="n"/>
      <c r="J292" s="10" t="n"/>
      <c r="K292" s="9" t="n"/>
      <c r="L292" s="9">
        <f>IF(G292="","",G292-(I292*Settings!$B$4)-(J292*0.1)-K292)</f>
        <v/>
      </c>
      <c r="M292" s="10">
        <f>IF(H292="Paid","✔","")</f>
        <v/>
      </c>
    </row>
    <row r="293">
      <c r="A293" s="12" t="n"/>
      <c r="B293" s="10" t="n"/>
      <c r="C293" s="10" t="n"/>
      <c r="D293" s="10" t="n"/>
      <c r="E293" s="10" t="n"/>
      <c r="F293" s="9" t="n"/>
      <c r="G293" s="9" t="n"/>
      <c r="H293" s="10" t="n"/>
      <c r="I293" s="13" t="n"/>
      <c r="J293" s="10" t="n"/>
      <c r="K293" s="9" t="n"/>
      <c r="L293" s="9">
        <f>IF(G293="","",G293-(I293*Settings!$B$4)-(J293*0.1)-K293)</f>
        <v/>
      </c>
      <c r="M293" s="10">
        <f>IF(H293="Paid","✔","")</f>
        <v/>
      </c>
    </row>
    <row r="294">
      <c r="A294" s="12" t="n"/>
      <c r="B294" s="10" t="n"/>
      <c r="C294" s="10" t="n"/>
      <c r="D294" s="10" t="n"/>
      <c r="E294" s="10" t="n"/>
      <c r="F294" s="9" t="n"/>
      <c r="G294" s="9" t="n"/>
      <c r="H294" s="10" t="n"/>
      <c r="I294" s="13" t="n"/>
      <c r="J294" s="10" t="n"/>
      <c r="K294" s="9" t="n"/>
      <c r="L294" s="9">
        <f>IF(G294="","",G294-(I294*Settings!$B$4)-(J294*0.1)-K294)</f>
        <v/>
      </c>
      <c r="M294" s="10">
        <f>IF(H294="Paid","✔","")</f>
        <v/>
      </c>
    </row>
    <row r="295">
      <c r="A295" s="12" t="n"/>
      <c r="B295" s="10" t="n"/>
      <c r="C295" s="10" t="n"/>
      <c r="D295" s="10" t="n"/>
      <c r="E295" s="10" t="n"/>
      <c r="F295" s="9" t="n"/>
      <c r="G295" s="9" t="n"/>
      <c r="H295" s="10" t="n"/>
      <c r="I295" s="13" t="n"/>
      <c r="J295" s="10" t="n"/>
      <c r="K295" s="9" t="n"/>
      <c r="L295" s="9">
        <f>IF(G295="","",G295-(I295*Settings!$B$4)-(J295*0.1)-K295)</f>
        <v/>
      </c>
      <c r="M295" s="10">
        <f>IF(H295="Paid","✔","")</f>
        <v/>
      </c>
    </row>
    <row r="296">
      <c r="A296" s="12" t="n"/>
      <c r="B296" s="10" t="n"/>
      <c r="C296" s="10" t="n"/>
      <c r="D296" s="10" t="n"/>
      <c r="E296" s="10" t="n"/>
      <c r="F296" s="9" t="n"/>
      <c r="G296" s="9" t="n"/>
      <c r="H296" s="10" t="n"/>
      <c r="I296" s="13" t="n"/>
      <c r="J296" s="10" t="n"/>
      <c r="K296" s="9" t="n"/>
      <c r="L296" s="9">
        <f>IF(G296="","",G296-(I296*Settings!$B$4)-(J296*0.1)-K296)</f>
        <v/>
      </c>
      <c r="M296" s="10">
        <f>IF(H296="Paid","✔","")</f>
        <v/>
      </c>
    </row>
    <row r="297">
      <c r="A297" s="12" t="n"/>
      <c r="B297" s="10" t="n"/>
      <c r="C297" s="10" t="n"/>
      <c r="D297" s="10" t="n"/>
      <c r="E297" s="10" t="n"/>
      <c r="F297" s="9" t="n"/>
      <c r="G297" s="9" t="n"/>
      <c r="H297" s="10" t="n"/>
      <c r="I297" s="13" t="n"/>
      <c r="J297" s="10" t="n"/>
      <c r="K297" s="9" t="n"/>
      <c r="L297" s="9">
        <f>IF(G297="","",G297-(I297*Settings!$B$4)-(J297*0.1)-K297)</f>
        <v/>
      </c>
      <c r="M297" s="10">
        <f>IF(H297="Paid","✔","")</f>
        <v/>
      </c>
    </row>
    <row r="298">
      <c r="A298" s="12" t="n"/>
      <c r="B298" s="10" t="n"/>
      <c r="C298" s="10" t="n"/>
      <c r="D298" s="10" t="n"/>
      <c r="E298" s="10" t="n"/>
      <c r="F298" s="9" t="n"/>
      <c r="G298" s="9" t="n"/>
      <c r="H298" s="10" t="n"/>
      <c r="I298" s="13" t="n"/>
      <c r="J298" s="10" t="n"/>
      <c r="K298" s="9" t="n"/>
      <c r="L298" s="9">
        <f>IF(G298="","",G298-(I298*Settings!$B$4)-(J298*0.1)-K298)</f>
        <v/>
      </c>
      <c r="M298" s="10">
        <f>IF(H298="Paid","✔","")</f>
        <v/>
      </c>
    </row>
    <row r="299">
      <c r="A299" s="12" t="n"/>
      <c r="B299" s="10" t="n"/>
      <c r="C299" s="10" t="n"/>
      <c r="D299" s="10" t="n"/>
      <c r="E299" s="10" t="n"/>
      <c r="F299" s="9" t="n"/>
      <c r="G299" s="9" t="n"/>
      <c r="H299" s="10" t="n"/>
      <c r="I299" s="13" t="n"/>
      <c r="J299" s="10" t="n"/>
      <c r="K299" s="9" t="n"/>
      <c r="L299" s="9">
        <f>IF(G299="","",G299-(I299*Settings!$B$4)-(J299*0.1)-K299)</f>
        <v/>
      </c>
      <c r="M299" s="10">
        <f>IF(H299="Paid","✔","")</f>
        <v/>
      </c>
    </row>
    <row r="300">
      <c r="A300" s="12" t="n"/>
      <c r="B300" s="10" t="n"/>
      <c r="C300" s="10" t="n"/>
      <c r="D300" s="10" t="n"/>
      <c r="E300" s="10" t="n"/>
      <c r="F300" s="9" t="n"/>
      <c r="G300" s="9" t="n"/>
      <c r="H300" s="10" t="n"/>
      <c r="I300" s="13" t="n"/>
      <c r="J300" s="10" t="n"/>
      <c r="K300" s="9" t="n"/>
      <c r="L300" s="9">
        <f>IF(G300="","",G300-(I300*Settings!$B$4)-(J300*0.1)-K300)</f>
        <v/>
      </c>
      <c r="M300" s="10">
        <f>IF(H300="Paid","✔","")</f>
        <v/>
      </c>
    </row>
    <row r="301">
      <c r="A301" s="12" t="n"/>
      <c r="B301" s="10" t="n"/>
      <c r="C301" s="10" t="n"/>
      <c r="D301" s="10" t="n"/>
      <c r="E301" s="10" t="n"/>
      <c r="F301" s="9" t="n"/>
      <c r="G301" s="9" t="n"/>
      <c r="H301" s="10" t="n"/>
      <c r="I301" s="13" t="n"/>
      <c r="J301" s="10" t="n"/>
      <c r="K301" s="9" t="n"/>
      <c r="L301" s="9">
        <f>IF(G301="","",G301-(I301*Settings!$B$4)-(J301*0.1)-K301)</f>
        <v/>
      </c>
      <c r="M301" s="10">
        <f>IF(H301="Paid","✔","")</f>
        <v/>
      </c>
    </row>
    <row r="302">
      <c r="A302" s="12" t="n"/>
      <c r="B302" s="10" t="n"/>
      <c r="C302" s="10" t="n"/>
      <c r="D302" s="10" t="n"/>
      <c r="E302" s="10" t="n"/>
      <c r="F302" s="9" t="n"/>
      <c r="G302" s="9" t="n"/>
      <c r="H302" s="10" t="n"/>
      <c r="I302" s="13" t="n"/>
      <c r="J302" s="10" t="n"/>
      <c r="K302" s="9" t="n"/>
      <c r="L302" s="9">
        <f>IF(G302="","",G302-(I302*Settings!$B$4)-(J302*0.1)-K302)</f>
        <v/>
      </c>
      <c r="M302" s="10">
        <f>IF(H302="Paid","✔","")</f>
        <v/>
      </c>
    </row>
    <row r="303">
      <c r="A303" s="12" t="n"/>
      <c r="B303" s="10" t="n"/>
      <c r="C303" s="10" t="n"/>
      <c r="D303" s="10" t="n"/>
      <c r="E303" s="10" t="n"/>
      <c r="F303" s="9" t="n"/>
      <c r="G303" s="9" t="n"/>
      <c r="H303" s="10" t="n"/>
      <c r="I303" s="13" t="n"/>
      <c r="J303" s="10" t="n"/>
      <c r="K303" s="9" t="n"/>
      <c r="L303" s="9">
        <f>IF(G303="","",G303-(I303*Settings!$B$4)-(J303*0.1)-K303)</f>
        <v/>
      </c>
      <c r="M303" s="10">
        <f>IF(H303="Paid","✔","")</f>
        <v/>
      </c>
    </row>
    <row r="304">
      <c r="A304" s="12" t="n"/>
      <c r="B304" s="10" t="n"/>
      <c r="C304" s="10" t="n"/>
      <c r="D304" s="10" t="n"/>
      <c r="E304" s="10" t="n"/>
      <c r="F304" s="9" t="n"/>
      <c r="G304" s="9" t="n"/>
      <c r="H304" s="10" t="n"/>
      <c r="I304" s="13" t="n"/>
      <c r="J304" s="10" t="n"/>
      <c r="K304" s="9" t="n"/>
      <c r="L304" s="9">
        <f>IF(G304="","",G304-(I304*Settings!$B$4)-(J304*0.1)-K304)</f>
        <v/>
      </c>
      <c r="M304" s="10">
        <f>IF(H304="Paid","✔","")</f>
        <v/>
      </c>
    </row>
  </sheetData>
  <mergeCells count="2">
    <mergeCell ref="A2:M2"/>
    <mergeCell ref="A1:M1"/>
  </mergeCells>
  <conditionalFormatting sqref="H5:H304">
    <cfRule type="cellIs" priority="1" operator="equal" dxfId="0">
      <formula>"Invoiced"</formula>
    </cfRule>
    <cfRule type="cellIs" priority="2" operator="equal" dxfId="1">
      <formula>"Paid"</formula>
    </cfRule>
  </conditionalFormatting>
  <dataValidations count="3">
    <dataValidation sqref="B5:B304" showDropDown="0" showInputMessage="0" showErrorMessage="0" allowBlank="1" type="list">
      <formula1>=Companies!$A$5:$A$59</formula1>
    </dataValidation>
    <dataValidation sqref="E5:E304" showDropDown="0" showInputMessage="0" showErrorMessage="0" allowBlank="1" type="list">
      <formula1>=Settings!$E$4:$E$12</formula1>
    </dataValidation>
    <dataValidation sqref="H5:H304" showDropDown="0" showInputMessage="0" showErrorMessage="0" allowBlank="1" type="list">
      <formula1>=Settings!$F$4:$F$9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 ht="38" customHeight="1">
      <c r="A1" s="1" t="inlineStr">
        <is>
          <t>🚗  IRS Mileage Log</t>
        </is>
      </c>
    </row>
    <row r="2" ht="22" customHeight="1">
      <c r="A2" s="2" t="inlineStr">
        <is>
          <t>Track every business mile — deduction calculates automatically.</t>
        </is>
      </c>
    </row>
    <row r="4">
      <c r="A4" s="7" t="inlineStr">
        <is>
          <t>Date</t>
        </is>
      </c>
      <c r="B4" s="7" t="inlineStr">
        <is>
          <t>Order # / Purpose</t>
        </is>
      </c>
      <c r="C4" s="7" t="inlineStr">
        <is>
          <t>From</t>
        </is>
      </c>
      <c r="D4" s="7" t="inlineStr">
        <is>
          <t>To</t>
        </is>
      </c>
      <c r="E4" s="7" t="inlineStr">
        <is>
          <t>Round-trip miles</t>
        </is>
      </c>
      <c r="F4" s="7" t="inlineStr">
        <is>
          <t>Deduction ($)</t>
        </is>
      </c>
    </row>
    <row r="5">
      <c r="A5" s="12" t="inlineStr">
        <is>
          <t>2026-01-08</t>
        </is>
      </c>
      <c r="B5" s="10" t="inlineStr">
        <is>
          <t>CS-1042 signing</t>
        </is>
      </c>
      <c r="C5" s="10" t="inlineStr">
        <is>
          <t>Home</t>
        </is>
      </c>
      <c r="D5" s="10" t="inlineStr">
        <is>
          <t>Riverside</t>
        </is>
      </c>
      <c r="E5" s="13" t="n">
        <v>24</v>
      </c>
      <c r="F5" s="9">
        <f>IF(E5="","",E5*Settings!$B$4)</f>
        <v/>
      </c>
    </row>
    <row r="6">
      <c r="A6" s="12" t="inlineStr">
        <is>
          <t>2026-01-11</t>
        </is>
      </c>
      <c r="B6" s="10" t="inlineStr">
        <is>
          <t>ST-9981 signing</t>
        </is>
      </c>
      <c r="C6" s="10" t="inlineStr">
        <is>
          <t>Home</t>
        </is>
      </c>
      <c r="D6" s="10" t="inlineStr">
        <is>
          <t>Downtown</t>
        </is>
      </c>
      <c r="E6" s="13" t="n">
        <v>18</v>
      </c>
      <c r="F6" s="9">
        <f>IF(E6="","",E6*Settings!$B$4)</f>
        <v/>
      </c>
    </row>
    <row r="7">
      <c r="A7" s="12" t="n"/>
      <c r="B7" s="10" t="n"/>
      <c r="C7" s="10" t="n"/>
      <c r="D7" s="10" t="n"/>
      <c r="E7" s="13" t="n"/>
      <c r="F7" s="9">
        <f>IF(E7="","",E7*Settings!$B$4)</f>
        <v/>
      </c>
    </row>
    <row r="8">
      <c r="A8" s="12" t="n"/>
      <c r="B8" s="10" t="n"/>
      <c r="C8" s="10" t="n"/>
      <c r="D8" s="10" t="n"/>
      <c r="E8" s="13" t="n"/>
      <c r="F8" s="9">
        <f>IF(E8="","",E8*Settings!$B$4)</f>
        <v/>
      </c>
    </row>
    <row r="9">
      <c r="A9" s="12" t="n"/>
      <c r="B9" s="10" t="n"/>
      <c r="C9" s="10" t="n"/>
      <c r="D9" s="10" t="n"/>
      <c r="E9" s="13" t="n"/>
      <c r="F9" s="9">
        <f>IF(E9="","",E9*Settings!$B$4)</f>
        <v/>
      </c>
    </row>
    <row r="10">
      <c r="A10" s="12" t="n"/>
      <c r="B10" s="10" t="n"/>
      <c r="C10" s="10" t="n"/>
      <c r="D10" s="10" t="n"/>
      <c r="E10" s="13" t="n"/>
      <c r="F10" s="9">
        <f>IF(E10="","",E10*Settings!$B$4)</f>
        <v/>
      </c>
    </row>
    <row r="11">
      <c r="A11" s="12" t="n"/>
      <c r="B11" s="10" t="n"/>
      <c r="C11" s="10" t="n"/>
      <c r="D11" s="10" t="n"/>
      <c r="E11" s="13" t="n"/>
      <c r="F11" s="9">
        <f>IF(E11="","",E11*Settings!$B$4)</f>
        <v/>
      </c>
    </row>
    <row r="12">
      <c r="A12" s="12" t="n"/>
      <c r="B12" s="10" t="n"/>
      <c r="C12" s="10" t="n"/>
      <c r="D12" s="10" t="n"/>
      <c r="E12" s="13" t="n"/>
      <c r="F12" s="9">
        <f>IF(E12="","",E12*Settings!$B$4)</f>
        <v/>
      </c>
    </row>
    <row r="13">
      <c r="A13" s="12" t="n"/>
      <c r="B13" s="10" t="n"/>
      <c r="C13" s="10" t="n"/>
      <c r="D13" s="10" t="n"/>
      <c r="E13" s="13" t="n"/>
      <c r="F13" s="9">
        <f>IF(E13="","",E13*Settings!$B$4)</f>
        <v/>
      </c>
    </row>
    <row r="14">
      <c r="A14" s="12" t="n"/>
      <c r="B14" s="10" t="n"/>
      <c r="C14" s="10" t="n"/>
      <c r="D14" s="10" t="n"/>
      <c r="E14" s="13" t="n"/>
      <c r="F14" s="9">
        <f>IF(E14="","",E14*Settings!$B$4)</f>
        <v/>
      </c>
    </row>
    <row r="15">
      <c r="A15" s="12" t="n"/>
      <c r="B15" s="10" t="n"/>
      <c r="C15" s="10" t="n"/>
      <c r="D15" s="10" t="n"/>
      <c r="E15" s="13" t="n"/>
      <c r="F15" s="9">
        <f>IF(E15="","",E15*Settings!$B$4)</f>
        <v/>
      </c>
    </row>
    <row r="16">
      <c r="A16" s="12" t="n"/>
      <c r="B16" s="10" t="n"/>
      <c r="C16" s="10" t="n"/>
      <c r="D16" s="10" t="n"/>
      <c r="E16" s="13" t="n"/>
      <c r="F16" s="9">
        <f>IF(E16="","",E16*Settings!$B$4)</f>
        <v/>
      </c>
    </row>
    <row r="17">
      <c r="A17" s="12" t="n"/>
      <c r="B17" s="10" t="n"/>
      <c r="C17" s="10" t="n"/>
      <c r="D17" s="10" t="n"/>
      <c r="E17" s="13" t="n"/>
      <c r="F17" s="9">
        <f>IF(E17="","",E17*Settings!$B$4)</f>
        <v/>
      </c>
    </row>
    <row r="18">
      <c r="A18" s="12" t="n"/>
      <c r="B18" s="10" t="n"/>
      <c r="C18" s="10" t="n"/>
      <c r="D18" s="10" t="n"/>
      <c r="E18" s="13" t="n"/>
      <c r="F18" s="9">
        <f>IF(E18="","",E18*Settings!$B$4)</f>
        <v/>
      </c>
    </row>
    <row r="19">
      <c r="A19" s="12" t="n"/>
      <c r="B19" s="10" t="n"/>
      <c r="C19" s="10" t="n"/>
      <c r="D19" s="10" t="n"/>
      <c r="E19" s="13" t="n"/>
      <c r="F19" s="9">
        <f>IF(E19="","",E19*Settings!$B$4)</f>
        <v/>
      </c>
    </row>
    <row r="20">
      <c r="A20" s="12" t="n"/>
      <c r="B20" s="10" t="n"/>
      <c r="C20" s="10" t="n"/>
      <c r="D20" s="10" t="n"/>
      <c r="E20" s="13" t="n"/>
      <c r="F20" s="9">
        <f>IF(E20="","",E20*Settings!$B$4)</f>
        <v/>
      </c>
    </row>
    <row r="21">
      <c r="A21" s="12" t="n"/>
      <c r="B21" s="10" t="n"/>
      <c r="C21" s="10" t="n"/>
      <c r="D21" s="10" t="n"/>
      <c r="E21" s="13" t="n"/>
      <c r="F21" s="9">
        <f>IF(E21="","",E21*Settings!$B$4)</f>
        <v/>
      </c>
    </row>
    <row r="22">
      <c r="A22" s="12" t="n"/>
      <c r="B22" s="10" t="n"/>
      <c r="C22" s="10" t="n"/>
      <c r="D22" s="10" t="n"/>
      <c r="E22" s="13" t="n"/>
      <c r="F22" s="9">
        <f>IF(E22="","",E22*Settings!$B$4)</f>
        <v/>
      </c>
    </row>
    <row r="23">
      <c r="A23" s="12" t="n"/>
      <c r="B23" s="10" t="n"/>
      <c r="C23" s="10" t="n"/>
      <c r="D23" s="10" t="n"/>
      <c r="E23" s="13" t="n"/>
      <c r="F23" s="9">
        <f>IF(E23="","",E23*Settings!$B$4)</f>
        <v/>
      </c>
    </row>
    <row r="24">
      <c r="A24" s="12" t="n"/>
      <c r="B24" s="10" t="n"/>
      <c r="C24" s="10" t="n"/>
      <c r="D24" s="10" t="n"/>
      <c r="E24" s="13" t="n"/>
      <c r="F24" s="9">
        <f>IF(E24="","",E24*Settings!$B$4)</f>
        <v/>
      </c>
    </row>
    <row r="25">
      <c r="A25" s="12" t="n"/>
      <c r="B25" s="10" t="n"/>
      <c r="C25" s="10" t="n"/>
      <c r="D25" s="10" t="n"/>
      <c r="E25" s="13" t="n"/>
      <c r="F25" s="9">
        <f>IF(E25="","",E25*Settings!$B$4)</f>
        <v/>
      </c>
    </row>
    <row r="26">
      <c r="A26" s="12" t="n"/>
      <c r="B26" s="10" t="n"/>
      <c r="C26" s="10" t="n"/>
      <c r="D26" s="10" t="n"/>
      <c r="E26" s="13" t="n"/>
      <c r="F26" s="9">
        <f>IF(E26="","",E26*Settings!$B$4)</f>
        <v/>
      </c>
    </row>
    <row r="27">
      <c r="A27" s="12" t="n"/>
      <c r="B27" s="10" t="n"/>
      <c r="C27" s="10" t="n"/>
      <c r="D27" s="10" t="n"/>
      <c r="E27" s="13" t="n"/>
      <c r="F27" s="9">
        <f>IF(E27="","",E27*Settings!$B$4)</f>
        <v/>
      </c>
    </row>
    <row r="28">
      <c r="A28" s="12" t="n"/>
      <c r="B28" s="10" t="n"/>
      <c r="C28" s="10" t="n"/>
      <c r="D28" s="10" t="n"/>
      <c r="E28" s="13" t="n"/>
      <c r="F28" s="9">
        <f>IF(E28="","",E28*Settings!$B$4)</f>
        <v/>
      </c>
    </row>
    <row r="29">
      <c r="A29" s="12" t="n"/>
      <c r="B29" s="10" t="n"/>
      <c r="C29" s="10" t="n"/>
      <c r="D29" s="10" t="n"/>
      <c r="E29" s="13" t="n"/>
      <c r="F29" s="9">
        <f>IF(E29="","",E29*Settings!$B$4)</f>
        <v/>
      </c>
    </row>
    <row r="30">
      <c r="A30" s="12" t="n"/>
      <c r="B30" s="10" t="n"/>
      <c r="C30" s="10" t="n"/>
      <c r="D30" s="10" t="n"/>
      <c r="E30" s="13" t="n"/>
      <c r="F30" s="9">
        <f>IF(E30="","",E30*Settings!$B$4)</f>
        <v/>
      </c>
    </row>
    <row r="31">
      <c r="A31" s="12" t="n"/>
      <c r="B31" s="10" t="n"/>
      <c r="C31" s="10" t="n"/>
      <c r="D31" s="10" t="n"/>
      <c r="E31" s="13" t="n"/>
      <c r="F31" s="9">
        <f>IF(E31="","",E31*Settings!$B$4)</f>
        <v/>
      </c>
    </row>
    <row r="32">
      <c r="A32" s="12" t="n"/>
      <c r="B32" s="10" t="n"/>
      <c r="C32" s="10" t="n"/>
      <c r="D32" s="10" t="n"/>
      <c r="E32" s="13" t="n"/>
      <c r="F32" s="9">
        <f>IF(E32="","",E32*Settings!$B$4)</f>
        <v/>
      </c>
    </row>
    <row r="33">
      <c r="A33" s="12" t="n"/>
      <c r="B33" s="10" t="n"/>
      <c r="C33" s="10" t="n"/>
      <c r="D33" s="10" t="n"/>
      <c r="E33" s="13" t="n"/>
      <c r="F33" s="9">
        <f>IF(E33="","",E33*Settings!$B$4)</f>
        <v/>
      </c>
    </row>
    <row r="34">
      <c r="A34" s="12" t="n"/>
      <c r="B34" s="10" t="n"/>
      <c r="C34" s="10" t="n"/>
      <c r="D34" s="10" t="n"/>
      <c r="E34" s="13" t="n"/>
      <c r="F34" s="9">
        <f>IF(E34="","",E34*Settings!$B$4)</f>
        <v/>
      </c>
    </row>
    <row r="35">
      <c r="A35" s="12" t="n"/>
      <c r="B35" s="10" t="n"/>
      <c r="C35" s="10" t="n"/>
      <c r="D35" s="10" t="n"/>
      <c r="E35" s="13" t="n"/>
      <c r="F35" s="9">
        <f>IF(E35="","",E35*Settings!$B$4)</f>
        <v/>
      </c>
    </row>
    <row r="36">
      <c r="A36" s="12" t="n"/>
      <c r="B36" s="10" t="n"/>
      <c r="C36" s="10" t="n"/>
      <c r="D36" s="10" t="n"/>
      <c r="E36" s="13" t="n"/>
      <c r="F36" s="9">
        <f>IF(E36="","",E36*Settings!$B$4)</f>
        <v/>
      </c>
    </row>
    <row r="37">
      <c r="A37" s="12" t="n"/>
      <c r="B37" s="10" t="n"/>
      <c r="C37" s="10" t="n"/>
      <c r="D37" s="10" t="n"/>
      <c r="E37" s="13" t="n"/>
      <c r="F37" s="9">
        <f>IF(E37="","",E37*Settings!$B$4)</f>
        <v/>
      </c>
    </row>
    <row r="38">
      <c r="A38" s="12" t="n"/>
      <c r="B38" s="10" t="n"/>
      <c r="C38" s="10" t="n"/>
      <c r="D38" s="10" t="n"/>
      <c r="E38" s="13" t="n"/>
      <c r="F38" s="9">
        <f>IF(E38="","",E38*Settings!$B$4)</f>
        <v/>
      </c>
    </row>
    <row r="39">
      <c r="A39" s="12" t="n"/>
      <c r="B39" s="10" t="n"/>
      <c r="C39" s="10" t="n"/>
      <c r="D39" s="10" t="n"/>
      <c r="E39" s="13" t="n"/>
      <c r="F39" s="9">
        <f>IF(E39="","",E39*Settings!$B$4)</f>
        <v/>
      </c>
    </row>
    <row r="40">
      <c r="A40" s="12" t="n"/>
      <c r="B40" s="10" t="n"/>
      <c r="C40" s="10" t="n"/>
      <c r="D40" s="10" t="n"/>
      <c r="E40" s="13" t="n"/>
      <c r="F40" s="9">
        <f>IF(E40="","",E40*Settings!$B$4)</f>
        <v/>
      </c>
    </row>
    <row r="41">
      <c r="A41" s="12" t="n"/>
      <c r="B41" s="10" t="n"/>
      <c r="C41" s="10" t="n"/>
      <c r="D41" s="10" t="n"/>
      <c r="E41" s="13" t="n"/>
      <c r="F41" s="9">
        <f>IF(E41="","",E41*Settings!$B$4)</f>
        <v/>
      </c>
    </row>
    <row r="42">
      <c r="A42" s="12" t="n"/>
      <c r="B42" s="10" t="n"/>
      <c r="C42" s="10" t="n"/>
      <c r="D42" s="10" t="n"/>
      <c r="E42" s="13" t="n"/>
      <c r="F42" s="9">
        <f>IF(E42="","",E42*Settings!$B$4)</f>
        <v/>
      </c>
    </row>
    <row r="43">
      <c r="A43" s="12" t="n"/>
      <c r="B43" s="10" t="n"/>
      <c r="C43" s="10" t="n"/>
      <c r="D43" s="10" t="n"/>
      <c r="E43" s="13" t="n"/>
      <c r="F43" s="9">
        <f>IF(E43="","",E43*Settings!$B$4)</f>
        <v/>
      </c>
    </row>
    <row r="44">
      <c r="A44" s="12" t="n"/>
      <c r="B44" s="10" t="n"/>
      <c r="C44" s="10" t="n"/>
      <c r="D44" s="10" t="n"/>
      <c r="E44" s="13" t="n"/>
      <c r="F44" s="9">
        <f>IF(E44="","",E44*Settings!$B$4)</f>
        <v/>
      </c>
    </row>
    <row r="45">
      <c r="A45" s="12" t="n"/>
      <c r="B45" s="10" t="n"/>
      <c r="C45" s="10" t="n"/>
      <c r="D45" s="10" t="n"/>
      <c r="E45" s="13" t="n"/>
      <c r="F45" s="9">
        <f>IF(E45="","",E45*Settings!$B$4)</f>
        <v/>
      </c>
    </row>
    <row r="46">
      <c r="A46" s="12" t="n"/>
      <c r="B46" s="10" t="n"/>
      <c r="C46" s="10" t="n"/>
      <c r="D46" s="10" t="n"/>
      <c r="E46" s="13" t="n"/>
      <c r="F46" s="9">
        <f>IF(E46="","",E46*Settings!$B$4)</f>
        <v/>
      </c>
    </row>
    <row r="47">
      <c r="A47" s="12" t="n"/>
      <c r="B47" s="10" t="n"/>
      <c r="C47" s="10" t="n"/>
      <c r="D47" s="10" t="n"/>
      <c r="E47" s="13" t="n"/>
      <c r="F47" s="9">
        <f>IF(E47="","",E47*Settings!$B$4)</f>
        <v/>
      </c>
    </row>
    <row r="48">
      <c r="A48" s="12" t="n"/>
      <c r="B48" s="10" t="n"/>
      <c r="C48" s="10" t="n"/>
      <c r="D48" s="10" t="n"/>
      <c r="E48" s="13" t="n"/>
      <c r="F48" s="9">
        <f>IF(E48="","",E48*Settings!$B$4)</f>
        <v/>
      </c>
    </row>
    <row r="49">
      <c r="A49" s="12" t="n"/>
      <c r="B49" s="10" t="n"/>
      <c r="C49" s="10" t="n"/>
      <c r="D49" s="10" t="n"/>
      <c r="E49" s="13" t="n"/>
      <c r="F49" s="9">
        <f>IF(E49="","",E49*Settings!$B$4)</f>
        <v/>
      </c>
    </row>
    <row r="50">
      <c r="A50" s="12" t="n"/>
      <c r="B50" s="10" t="n"/>
      <c r="C50" s="10" t="n"/>
      <c r="D50" s="10" t="n"/>
      <c r="E50" s="13" t="n"/>
      <c r="F50" s="9">
        <f>IF(E50="","",E50*Settings!$B$4)</f>
        <v/>
      </c>
    </row>
    <row r="51">
      <c r="A51" s="12" t="n"/>
      <c r="B51" s="10" t="n"/>
      <c r="C51" s="10" t="n"/>
      <c r="D51" s="10" t="n"/>
      <c r="E51" s="13" t="n"/>
      <c r="F51" s="9">
        <f>IF(E51="","",E51*Settings!$B$4)</f>
        <v/>
      </c>
    </row>
    <row r="52">
      <c r="A52" s="12" t="n"/>
      <c r="B52" s="10" t="n"/>
      <c r="C52" s="10" t="n"/>
      <c r="D52" s="10" t="n"/>
      <c r="E52" s="13" t="n"/>
      <c r="F52" s="9">
        <f>IF(E52="","",E52*Settings!$B$4)</f>
        <v/>
      </c>
    </row>
    <row r="53">
      <c r="A53" s="12" t="n"/>
      <c r="B53" s="10" t="n"/>
      <c r="C53" s="10" t="n"/>
      <c r="D53" s="10" t="n"/>
      <c r="E53" s="13" t="n"/>
      <c r="F53" s="9">
        <f>IF(E53="","",E53*Settings!$B$4)</f>
        <v/>
      </c>
    </row>
    <row r="54">
      <c r="A54" s="12" t="n"/>
      <c r="B54" s="10" t="n"/>
      <c r="C54" s="10" t="n"/>
      <c r="D54" s="10" t="n"/>
      <c r="E54" s="13" t="n"/>
      <c r="F54" s="9">
        <f>IF(E54="","",E54*Settings!$B$4)</f>
        <v/>
      </c>
    </row>
    <row r="55">
      <c r="A55" s="12" t="n"/>
      <c r="B55" s="10" t="n"/>
      <c r="C55" s="10" t="n"/>
      <c r="D55" s="10" t="n"/>
      <c r="E55" s="13" t="n"/>
      <c r="F55" s="9">
        <f>IF(E55="","",E55*Settings!$B$4)</f>
        <v/>
      </c>
    </row>
    <row r="56">
      <c r="A56" s="12" t="n"/>
      <c r="B56" s="10" t="n"/>
      <c r="C56" s="10" t="n"/>
      <c r="D56" s="10" t="n"/>
      <c r="E56" s="13" t="n"/>
      <c r="F56" s="9">
        <f>IF(E56="","",E56*Settings!$B$4)</f>
        <v/>
      </c>
    </row>
    <row r="57">
      <c r="A57" s="12" t="n"/>
      <c r="B57" s="10" t="n"/>
      <c r="C57" s="10" t="n"/>
      <c r="D57" s="10" t="n"/>
      <c r="E57" s="13" t="n"/>
      <c r="F57" s="9">
        <f>IF(E57="","",E57*Settings!$B$4)</f>
        <v/>
      </c>
    </row>
    <row r="58">
      <c r="A58" s="12" t="n"/>
      <c r="B58" s="10" t="n"/>
      <c r="C58" s="10" t="n"/>
      <c r="D58" s="10" t="n"/>
      <c r="E58" s="13" t="n"/>
      <c r="F58" s="9">
        <f>IF(E58="","",E58*Settings!$B$4)</f>
        <v/>
      </c>
    </row>
    <row r="59">
      <c r="A59" s="12" t="n"/>
      <c r="B59" s="10" t="n"/>
      <c r="C59" s="10" t="n"/>
      <c r="D59" s="10" t="n"/>
      <c r="E59" s="13" t="n"/>
      <c r="F59" s="9">
        <f>IF(E59="","",E59*Settings!$B$4)</f>
        <v/>
      </c>
    </row>
    <row r="60">
      <c r="A60" s="12" t="n"/>
      <c r="B60" s="10" t="n"/>
      <c r="C60" s="10" t="n"/>
      <c r="D60" s="10" t="n"/>
      <c r="E60" s="13" t="n"/>
      <c r="F60" s="9">
        <f>IF(E60="","",E60*Settings!$B$4)</f>
        <v/>
      </c>
    </row>
    <row r="61">
      <c r="A61" s="12" t="n"/>
      <c r="B61" s="10" t="n"/>
      <c r="C61" s="10" t="n"/>
      <c r="D61" s="10" t="n"/>
      <c r="E61" s="13" t="n"/>
      <c r="F61" s="9">
        <f>IF(E61="","",E61*Settings!$B$4)</f>
        <v/>
      </c>
    </row>
    <row r="62">
      <c r="A62" s="12" t="n"/>
      <c r="B62" s="10" t="n"/>
      <c r="C62" s="10" t="n"/>
      <c r="D62" s="10" t="n"/>
      <c r="E62" s="13" t="n"/>
      <c r="F62" s="9">
        <f>IF(E62="","",E62*Settings!$B$4)</f>
        <v/>
      </c>
    </row>
    <row r="63">
      <c r="A63" s="12" t="n"/>
      <c r="B63" s="10" t="n"/>
      <c r="C63" s="10" t="n"/>
      <c r="D63" s="10" t="n"/>
      <c r="E63" s="13" t="n"/>
      <c r="F63" s="9">
        <f>IF(E63="","",E63*Settings!$B$4)</f>
        <v/>
      </c>
    </row>
    <row r="64">
      <c r="A64" s="12" t="n"/>
      <c r="B64" s="10" t="n"/>
      <c r="C64" s="10" t="n"/>
      <c r="D64" s="10" t="n"/>
      <c r="E64" s="13" t="n"/>
      <c r="F64" s="9">
        <f>IF(E64="","",E64*Settings!$B$4)</f>
        <v/>
      </c>
    </row>
    <row r="65">
      <c r="A65" s="12" t="n"/>
      <c r="B65" s="10" t="n"/>
      <c r="C65" s="10" t="n"/>
      <c r="D65" s="10" t="n"/>
      <c r="E65" s="13" t="n"/>
      <c r="F65" s="9">
        <f>IF(E65="","",E65*Settings!$B$4)</f>
        <v/>
      </c>
    </row>
    <row r="66">
      <c r="A66" s="12" t="n"/>
      <c r="B66" s="10" t="n"/>
      <c r="C66" s="10" t="n"/>
      <c r="D66" s="10" t="n"/>
      <c r="E66" s="13" t="n"/>
      <c r="F66" s="9">
        <f>IF(E66="","",E66*Settings!$B$4)</f>
        <v/>
      </c>
    </row>
    <row r="67">
      <c r="A67" s="12" t="n"/>
      <c r="B67" s="10" t="n"/>
      <c r="C67" s="10" t="n"/>
      <c r="D67" s="10" t="n"/>
      <c r="E67" s="13" t="n"/>
      <c r="F67" s="9">
        <f>IF(E67="","",E67*Settings!$B$4)</f>
        <v/>
      </c>
    </row>
    <row r="68">
      <c r="A68" s="12" t="n"/>
      <c r="B68" s="10" t="n"/>
      <c r="C68" s="10" t="n"/>
      <c r="D68" s="10" t="n"/>
      <c r="E68" s="13" t="n"/>
      <c r="F68" s="9">
        <f>IF(E68="","",E68*Settings!$B$4)</f>
        <v/>
      </c>
    </row>
    <row r="69">
      <c r="A69" s="12" t="n"/>
      <c r="B69" s="10" t="n"/>
      <c r="C69" s="10" t="n"/>
      <c r="D69" s="10" t="n"/>
      <c r="E69" s="13" t="n"/>
      <c r="F69" s="9">
        <f>IF(E69="","",E69*Settings!$B$4)</f>
        <v/>
      </c>
    </row>
    <row r="70">
      <c r="A70" s="12" t="n"/>
      <c r="B70" s="10" t="n"/>
      <c r="C70" s="10" t="n"/>
      <c r="D70" s="10" t="n"/>
      <c r="E70" s="13" t="n"/>
      <c r="F70" s="9">
        <f>IF(E70="","",E70*Settings!$B$4)</f>
        <v/>
      </c>
    </row>
    <row r="71">
      <c r="A71" s="12" t="n"/>
      <c r="B71" s="10" t="n"/>
      <c r="C71" s="10" t="n"/>
      <c r="D71" s="10" t="n"/>
      <c r="E71" s="13" t="n"/>
      <c r="F71" s="9">
        <f>IF(E71="","",E71*Settings!$B$4)</f>
        <v/>
      </c>
    </row>
    <row r="72">
      <c r="A72" s="12" t="n"/>
      <c r="B72" s="10" t="n"/>
      <c r="C72" s="10" t="n"/>
      <c r="D72" s="10" t="n"/>
      <c r="E72" s="13" t="n"/>
      <c r="F72" s="9">
        <f>IF(E72="","",E72*Settings!$B$4)</f>
        <v/>
      </c>
    </row>
    <row r="73">
      <c r="A73" s="12" t="n"/>
      <c r="B73" s="10" t="n"/>
      <c r="C73" s="10" t="n"/>
      <c r="D73" s="10" t="n"/>
      <c r="E73" s="13" t="n"/>
      <c r="F73" s="9">
        <f>IF(E73="","",E73*Settings!$B$4)</f>
        <v/>
      </c>
    </row>
    <row r="74">
      <c r="A74" s="12" t="n"/>
      <c r="B74" s="10" t="n"/>
      <c r="C74" s="10" t="n"/>
      <c r="D74" s="10" t="n"/>
      <c r="E74" s="13" t="n"/>
      <c r="F74" s="9">
        <f>IF(E74="","",E74*Settings!$B$4)</f>
        <v/>
      </c>
    </row>
    <row r="75">
      <c r="A75" s="12" t="n"/>
      <c r="B75" s="10" t="n"/>
      <c r="C75" s="10" t="n"/>
      <c r="D75" s="10" t="n"/>
      <c r="E75" s="13" t="n"/>
      <c r="F75" s="9">
        <f>IF(E75="","",E75*Settings!$B$4)</f>
        <v/>
      </c>
    </row>
    <row r="76">
      <c r="A76" s="12" t="n"/>
      <c r="B76" s="10" t="n"/>
      <c r="C76" s="10" t="n"/>
      <c r="D76" s="10" t="n"/>
      <c r="E76" s="13" t="n"/>
      <c r="F76" s="9">
        <f>IF(E76="","",E76*Settings!$B$4)</f>
        <v/>
      </c>
    </row>
    <row r="77">
      <c r="A77" s="12" t="n"/>
      <c r="B77" s="10" t="n"/>
      <c r="C77" s="10" t="n"/>
      <c r="D77" s="10" t="n"/>
      <c r="E77" s="13" t="n"/>
      <c r="F77" s="9">
        <f>IF(E77="","",E77*Settings!$B$4)</f>
        <v/>
      </c>
    </row>
    <row r="78">
      <c r="A78" s="12" t="n"/>
      <c r="B78" s="10" t="n"/>
      <c r="C78" s="10" t="n"/>
      <c r="D78" s="10" t="n"/>
      <c r="E78" s="13" t="n"/>
      <c r="F78" s="9">
        <f>IF(E78="","",E78*Settings!$B$4)</f>
        <v/>
      </c>
    </row>
    <row r="79">
      <c r="A79" s="12" t="n"/>
      <c r="B79" s="10" t="n"/>
      <c r="C79" s="10" t="n"/>
      <c r="D79" s="10" t="n"/>
      <c r="E79" s="13" t="n"/>
      <c r="F79" s="9">
        <f>IF(E79="","",E79*Settings!$B$4)</f>
        <v/>
      </c>
    </row>
    <row r="80">
      <c r="A80" s="12" t="n"/>
      <c r="B80" s="10" t="n"/>
      <c r="C80" s="10" t="n"/>
      <c r="D80" s="10" t="n"/>
      <c r="E80" s="13" t="n"/>
      <c r="F80" s="9">
        <f>IF(E80="","",E80*Settings!$B$4)</f>
        <v/>
      </c>
    </row>
    <row r="81">
      <c r="A81" s="12" t="n"/>
      <c r="B81" s="10" t="n"/>
      <c r="C81" s="10" t="n"/>
      <c r="D81" s="10" t="n"/>
      <c r="E81" s="13" t="n"/>
      <c r="F81" s="9">
        <f>IF(E81="","",E81*Settings!$B$4)</f>
        <v/>
      </c>
    </row>
    <row r="82">
      <c r="A82" s="12" t="n"/>
      <c r="B82" s="10" t="n"/>
      <c r="C82" s="10" t="n"/>
      <c r="D82" s="10" t="n"/>
      <c r="E82" s="13" t="n"/>
      <c r="F82" s="9">
        <f>IF(E82="","",E82*Settings!$B$4)</f>
        <v/>
      </c>
    </row>
    <row r="83">
      <c r="A83" s="12" t="n"/>
      <c r="B83" s="10" t="n"/>
      <c r="C83" s="10" t="n"/>
      <c r="D83" s="10" t="n"/>
      <c r="E83" s="13" t="n"/>
      <c r="F83" s="9">
        <f>IF(E83="","",E83*Settings!$B$4)</f>
        <v/>
      </c>
    </row>
    <row r="84">
      <c r="A84" s="12" t="n"/>
      <c r="B84" s="10" t="n"/>
      <c r="C84" s="10" t="n"/>
      <c r="D84" s="10" t="n"/>
      <c r="E84" s="13" t="n"/>
      <c r="F84" s="9">
        <f>IF(E84="","",E84*Settings!$B$4)</f>
        <v/>
      </c>
    </row>
    <row r="85">
      <c r="A85" s="12" t="n"/>
      <c r="B85" s="10" t="n"/>
      <c r="C85" s="10" t="n"/>
      <c r="D85" s="10" t="n"/>
      <c r="E85" s="13" t="n"/>
      <c r="F85" s="9">
        <f>IF(E85="","",E85*Settings!$B$4)</f>
        <v/>
      </c>
    </row>
    <row r="86">
      <c r="A86" s="12" t="n"/>
      <c r="B86" s="10" t="n"/>
      <c r="C86" s="10" t="n"/>
      <c r="D86" s="10" t="n"/>
      <c r="E86" s="13" t="n"/>
      <c r="F86" s="9">
        <f>IF(E86="","",E86*Settings!$B$4)</f>
        <v/>
      </c>
    </row>
    <row r="87">
      <c r="A87" s="12" t="n"/>
      <c r="B87" s="10" t="n"/>
      <c r="C87" s="10" t="n"/>
      <c r="D87" s="10" t="n"/>
      <c r="E87" s="13" t="n"/>
      <c r="F87" s="9">
        <f>IF(E87="","",E87*Settings!$B$4)</f>
        <v/>
      </c>
    </row>
    <row r="88">
      <c r="A88" s="12" t="n"/>
      <c r="B88" s="10" t="n"/>
      <c r="C88" s="10" t="n"/>
      <c r="D88" s="10" t="n"/>
      <c r="E88" s="13" t="n"/>
      <c r="F88" s="9">
        <f>IF(E88="","",E88*Settings!$B$4)</f>
        <v/>
      </c>
    </row>
    <row r="89">
      <c r="A89" s="12" t="n"/>
      <c r="B89" s="10" t="n"/>
      <c r="C89" s="10" t="n"/>
      <c r="D89" s="10" t="n"/>
      <c r="E89" s="13" t="n"/>
      <c r="F89" s="9">
        <f>IF(E89="","",E89*Settings!$B$4)</f>
        <v/>
      </c>
    </row>
    <row r="90">
      <c r="A90" s="12" t="n"/>
      <c r="B90" s="10" t="n"/>
      <c r="C90" s="10" t="n"/>
      <c r="D90" s="10" t="n"/>
      <c r="E90" s="13" t="n"/>
      <c r="F90" s="9">
        <f>IF(E90="","",E90*Settings!$B$4)</f>
        <v/>
      </c>
    </row>
    <row r="91">
      <c r="A91" s="12" t="n"/>
      <c r="B91" s="10" t="n"/>
      <c r="C91" s="10" t="n"/>
      <c r="D91" s="10" t="n"/>
      <c r="E91" s="13" t="n"/>
      <c r="F91" s="9">
        <f>IF(E91="","",E91*Settings!$B$4)</f>
        <v/>
      </c>
    </row>
    <row r="92">
      <c r="A92" s="12" t="n"/>
      <c r="B92" s="10" t="n"/>
      <c r="C92" s="10" t="n"/>
      <c r="D92" s="10" t="n"/>
      <c r="E92" s="13" t="n"/>
      <c r="F92" s="9">
        <f>IF(E92="","",E92*Settings!$B$4)</f>
        <v/>
      </c>
    </row>
    <row r="93">
      <c r="A93" s="12" t="n"/>
      <c r="B93" s="10" t="n"/>
      <c r="C93" s="10" t="n"/>
      <c r="D93" s="10" t="n"/>
      <c r="E93" s="13" t="n"/>
      <c r="F93" s="9">
        <f>IF(E93="","",E93*Settings!$B$4)</f>
        <v/>
      </c>
    </row>
    <row r="94">
      <c r="A94" s="12" t="n"/>
      <c r="B94" s="10" t="n"/>
      <c r="C94" s="10" t="n"/>
      <c r="D94" s="10" t="n"/>
      <c r="E94" s="13" t="n"/>
      <c r="F94" s="9">
        <f>IF(E94="","",E94*Settings!$B$4)</f>
        <v/>
      </c>
    </row>
    <row r="95">
      <c r="A95" s="12" t="n"/>
      <c r="B95" s="10" t="n"/>
      <c r="C95" s="10" t="n"/>
      <c r="D95" s="10" t="n"/>
      <c r="E95" s="13" t="n"/>
      <c r="F95" s="9">
        <f>IF(E95="","",E95*Settings!$B$4)</f>
        <v/>
      </c>
    </row>
    <row r="96">
      <c r="A96" s="12" t="n"/>
      <c r="B96" s="10" t="n"/>
      <c r="C96" s="10" t="n"/>
      <c r="D96" s="10" t="n"/>
      <c r="E96" s="13" t="n"/>
      <c r="F96" s="9">
        <f>IF(E96="","",E96*Settings!$B$4)</f>
        <v/>
      </c>
    </row>
    <row r="97">
      <c r="A97" s="12" t="n"/>
      <c r="B97" s="10" t="n"/>
      <c r="C97" s="10" t="n"/>
      <c r="D97" s="10" t="n"/>
      <c r="E97" s="13" t="n"/>
      <c r="F97" s="9">
        <f>IF(E97="","",E97*Settings!$B$4)</f>
        <v/>
      </c>
    </row>
    <row r="98">
      <c r="A98" s="12" t="n"/>
      <c r="B98" s="10" t="n"/>
      <c r="C98" s="10" t="n"/>
      <c r="D98" s="10" t="n"/>
      <c r="E98" s="13" t="n"/>
      <c r="F98" s="9">
        <f>IF(E98="","",E98*Settings!$B$4)</f>
        <v/>
      </c>
    </row>
    <row r="99">
      <c r="A99" s="12" t="n"/>
      <c r="B99" s="10" t="n"/>
      <c r="C99" s="10" t="n"/>
      <c r="D99" s="10" t="n"/>
      <c r="E99" s="13" t="n"/>
      <c r="F99" s="9">
        <f>IF(E99="","",E99*Settings!$B$4)</f>
        <v/>
      </c>
    </row>
    <row r="100">
      <c r="A100" s="12" t="n"/>
      <c r="B100" s="10" t="n"/>
      <c r="C100" s="10" t="n"/>
      <c r="D100" s="10" t="n"/>
      <c r="E100" s="13" t="n"/>
      <c r="F100" s="9">
        <f>IF(E100="","",E100*Settings!$B$4)</f>
        <v/>
      </c>
    </row>
    <row r="101">
      <c r="A101" s="12" t="n"/>
      <c r="B101" s="10" t="n"/>
      <c r="C101" s="10" t="n"/>
      <c r="D101" s="10" t="n"/>
      <c r="E101" s="13" t="n"/>
      <c r="F101" s="9">
        <f>IF(E101="","",E101*Settings!$B$4)</f>
        <v/>
      </c>
    </row>
    <row r="102">
      <c r="A102" s="12" t="n"/>
      <c r="B102" s="10" t="n"/>
      <c r="C102" s="10" t="n"/>
      <c r="D102" s="10" t="n"/>
      <c r="E102" s="13" t="n"/>
      <c r="F102" s="9">
        <f>IF(E102="","",E102*Settings!$B$4)</f>
        <v/>
      </c>
    </row>
    <row r="103">
      <c r="A103" s="12" t="n"/>
      <c r="B103" s="10" t="n"/>
      <c r="C103" s="10" t="n"/>
      <c r="D103" s="10" t="n"/>
      <c r="E103" s="13" t="n"/>
      <c r="F103" s="9">
        <f>IF(E103="","",E103*Settings!$B$4)</f>
        <v/>
      </c>
    </row>
    <row r="104">
      <c r="A104" s="12" t="n"/>
      <c r="B104" s="10" t="n"/>
      <c r="C104" s="10" t="n"/>
      <c r="D104" s="10" t="n"/>
      <c r="E104" s="13" t="n"/>
      <c r="F104" s="9">
        <f>IF(E104="","",E104*Settings!$B$4)</f>
        <v/>
      </c>
    </row>
    <row r="105">
      <c r="A105" s="12" t="n"/>
      <c r="B105" s="10" t="n"/>
      <c r="C105" s="10" t="n"/>
      <c r="D105" s="10" t="n"/>
      <c r="E105" s="13" t="n"/>
      <c r="F105" s="9">
        <f>IF(E105="","",E105*Settings!$B$4)</f>
        <v/>
      </c>
    </row>
    <row r="106">
      <c r="A106" s="12" t="n"/>
      <c r="B106" s="10" t="n"/>
      <c r="C106" s="10" t="n"/>
      <c r="D106" s="10" t="n"/>
      <c r="E106" s="13" t="n"/>
      <c r="F106" s="9">
        <f>IF(E106="","",E106*Settings!$B$4)</f>
        <v/>
      </c>
    </row>
    <row r="107">
      <c r="A107" s="12" t="n"/>
      <c r="B107" s="10" t="n"/>
      <c r="C107" s="10" t="n"/>
      <c r="D107" s="10" t="n"/>
      <c r="E107" s="13" t="n"/>
      <c r="F107" s="9">
        <f>IF(E107="","",E107*Settings!$B$4)</f>
        <v/>
      </c>
    </row>
    <row r="108">
      <c r="A108" s="12" t="n"/>
      <c r="B108" s="10" t="n"/>
      <c r="C108" s="10" t="n"/>
      <c r="D108" s="10" t="n"/>
      <c r="E108" s="13" t="n"/>
      <c r="F108" s="9">
        <f>IF(E108="","",E108*Settings!$B$4)</f>
        <v/>
      </c>
    </row>
    <row r="109">
      <c r="A109" s="12" t="n"/>
      <c r="B109" s="10" t="n"/>
      <c r="C109" s="10" t="n"/>
      <c r="D109" s="10" t="n"/>
      <c r="E109" s="13" t="n"/>
      <c r="F109" s="9">
        <f>IF(E109="","",E109*Settings!$B$4)</f>
        <v/>
      </c>
    </row>
    <row r="110">
      <c r="A110" s="12" t="n"/>
      <c r="B110" s="10" t="n"/>
      <c r="C110" s="10" t="n"/>
      <c r="D110" s="10" t="n"/>
      <c r="E110" s="13" t="n"/>
      <c r="F110" s="9">
        <f>IF(E110="","",E110*Settings!$B$4)</f>
        <v/>
      </c>
    </row>
    <row r="111">
      <c r="A111" s="12" t="n"/>
      <c r="B111" s="10" t="n"/>
      <c r="C111" s="10" t="n"/>
      <c r="D111" s="10" t="n"/>
      <c r="E111" s="13" t="n"/>
      <c r="F111" s="9">
        <f>IF(E111="","",E111*Settings!$B$4)</f>
        <v/>
      </c>
    </row>
    <row r="112">
      <c r="A112" s="12" t="n"/>
      <c r="B112" s="10" t="n"/>
      <c r="C112" s="10" t="n"/>
      <c r="D112" s="10" t="n"/>
      <c r="E112" s="13" t="n"/>
      <c r="F112" s="9">
        <f>IF(E112="","",E112*Settings!$B$4)</f>
        <v/>
      </c>
    </row>
    <row r="113">
      <c r="A113" s="12" t="n"/>
      <c r="B113" s="10" t="n"/>
      <c r="C113" s="10" t="n"/>
      <c r="D113" s="10" t="n"/>
      <c r="E113" s="13" t="n"/>
      <c r="F113" s="9">
        <f>IF(E113="","",E113*Settings!$B$4)</f>
        <v/>
      </c>
    </row>
    <row r="114">
      <c r="A114" s="12" t="n"/>
      <c r="B114" s="10" t="n"/>
      <c r="C114" s="10" t="n"/>
      <c r="D114" s="10" t="n"/>
      <c r="E114" s="13" t="n"/>
      <c r="F114" s="9">
        <f>IF(E114="","",E114*Settings!$B$4)</f>
        <v/>
      </c>
    </row>
    <row r="115">
      <c r="A115" s="12" t="n"/>
      <c r="B115" s="10" t="n"/>
      <c r="C115" s="10" t="n"/>
      <c r="D115" s="10" t="n"/>
      <c r="E115" s="13" t="n"/>
      <c r="F115" s="9">
        <f>IF(E115="","",E115*Settings!$B$4)</f>
        <v/>
      </c>
    </row>
    <row r="116">
      <c r="A116" s="12" t="n"/>
      <c r="B116" s="10" t="n"/>
      <c r="C116" s="10" t="n"/>
      <c r="D116" s="10" t="n"/>
      <c r="E116" s="13" t="n"/>
      <c r="F116" s="9">
        <f>IF(E116="","",E116*Settings!$B$4)</f>
        <v/>
      </c>
    </row>
    <row r="117">
      <c r="A117" s="12" t="n"/>
      <c r="B117" s="10" t="n"/>
      <c r="C117" s="10" t="n"/>
      <c r="D117" s="10" t="n"/>
      <c r="E117" s="13" t="n"/>
      <c r="F117" s="9">
        <f>IF(E117="","",E117*Settings!$B$4)</f>
        <v/>
      </c>
    </row>
    <row r="118">
      <c r="A118" s="12" t="n"/>
      <c r="B118" s="10" t="n"/>
      <c r="C118" s="10" t="n"/>
      <c r="D118" s="10" t="n"/>
      <c r="E118" s="13" t="n"/>
      <c r="F118" s="9">
        <f>IF(E118="","",E118*Settings!$B$4)</f>
        <v/>
      </c>
    </row>
    <row r="119">
      <c r="A119" s="12" t="n"/>
      <c r="B119" s="10" t="n"/>
      <c r="C119" s="10" t="n"/>
      <c r="D119" s="10" t="n"/>
      <c r="E119" s="13" t="n"/>
      <c r="F119" s="9">
        <f>IF(E119="","",E119*Settings!$B$4)</f>
        <v/>
      </c>
    </row>
    <row r="120">
      <c r="A120" s="12" t="n"/>
      <c r="B120" s="10" t="n"/>
      <c r="C120" s="10" t="n"/>
      <c r="D120" s="10" t="n"/>
      <c r="E120" s="13" t="n"/>
      <c r="F120" s="9">
        <f>IF(E120="","",E120*Settings!$B$4)</f>
        <v/>
      </c>
    </row>
    <row r="121">
      <c r="A121" s="12" t="n"/>
      <c r="B121" s="10" t="n"/>
      <c r="C121" s="10" t="n"/>
      <c r="D121" s="10" t="n"/>
      <c r="E121" s="13" t="n"/>
      <c r="F121" s="9">
        <f>IF(E121="","",E121*Settings!$B$4)</f>
        <v/>
      </c>
    </row>
    <row r="122">
      <c r="A122" s="12" t="n"/>
      <c r="B122" s="10" t="n"/>
      <c r="C122" s="10" t="n"/>
      <c r="D122" s="10" t="n"/>
      <c r="E122" s="13" t="n"/>
      <c r="F122" s="9">
        <f>IF(E122="","",E122*Settings!$B$4)</f>
        <v/>
      </c>
    </row>
    <row r="123">
      <c r="A123" s="12" t="n"/>
      <c r="B123" s="10" t="n"/>
      <c r="C123" s="10" t="n"/>
      <c r="D123" s="10" t="n"/>
      <c r="E123" s="13" t="n"/>
      <c r="F123" s="9">
        <f>IF(E123="","",E123*Settings!$B$4)</f>
        <v/>
      </c>
    </row>
    <row r="124">
      <c r="A124" s="12" t="n"/>
      <c r="B124" s="10" t="n"/>
      <c r="C124" s="10" t="n"/>
      <c r="D124" s="10" t="n"/>
      <c r="E124" s="13" t="n"/>
      <c r="F124" s="9">
        <f>IF(E124="","",E124*Settings!$B$4)</f>
        <v/>
      </c>
    </row>
    <row r="125">
      <c r="A125" s="12" t="n"/>
      <c r="B125" s="10" t="n"/>
      <c r="C125" s="10" t="n"/>
      <c r="D125" s="10" t="n"/>
      <c r="E125" s="13" t="n"/>
      <c r="F125" s="9">
        <f>IF(E125="","",E125*Settings!$B$4)</f>
        <v/>
      </c>
    </row>
    <row r="126">
      <c r="A126" s="12" t="n"/>
      <c r="B126" s="10" t="n"/>
      <c r="C126" s="10" t="n"/>
      <c r="D126" s="10" t="n"/>
      <c r="E126" s="13" t="n"/>
      <c r="F126" s="9">
        <f>IF(E126="","",E126*Settings!$B$4)</f>
        <v/>
      </c>
    </row>
    <row r="127">
      <c r="A127" s="12" t="n"/>
      <c r="B127" s="10" t="n"/>
      <c r="C127" s="10" t="n"/>
      <c r="D127" s="10" t="n"/>
      <c r="E127" s="13" t="n"/>
      <c r="F127" s="9">
        <f>IF(E127="","",E127*Settings!$B$4)</f>
        <v/>
      </c>
    </row>
    <row r="128">
      <c r="A128" s="12" t="n"/>
      <c r="B128" s="10" t="n"/>
      <c r="C128" s="10" t="n"/>
      <c r="D128" s="10" t="n"/>
      <c r="E128" s="13" t="n"/>
      <c r="F128" s="9">
        <f>IF(E128="","",E128*Settings!$B$4)</f>
        <v/>
      </c>
    </row>
    <row r="129">
      <c r="A129" s="12" t="n"/>
      <c r="B129" s="10" t="n"/>
      <c r="C129" s="10" t="n"/>
      <c r="D129" s="10" t="n"/>
      <c r="E129" s="13" t="n"/>
      <c r="F129" s="9">
        <f>IF(E129="","",E129*Settings!$B$4)</f>
        <v/>
      </c>
    </row>
    <row r="130">
      <c r="A130" s="12" t="n"/>
      <c r="B130" s="10" t="n"/>
      <c r="C130" s="10" t="n"/>
      <c r="D130" s="10" t="n"/>
      <c r="E130" s="13" t="n"/>
      <c r="F130" s="9">
        <f>IF(E130="","",E130*Settings!$B$4)</f>
        <v/>
      </c>
    </row>
    <row r="131">
      <c r="A131" s="12" t="n"/>
      <c r="B131" s="10" t="n"/>
      <c r="C131" s="10" t="n"/>
      <c r="D131" s="10" t="n"/>
      <c r="E131" s="13" t="n"/>
      <c r="F131" s="9">
        <f>IF(E131="","",E131*Settings!$B$4)</f>
        <v/>
      </c>
    </row>
    <row r="132">
      <c r="A132" s="12" t="n"/>
      <c r="B132" s="10" t="n"/>
      <c r="C132" s="10" t="n"/>
      <c r="D132" s="10" t="n"/>
      <c r="E132" s="13" t="n"/>
      <c r="F132" s="9">
        <f>IF(E132="","",E132*Settings!$B$4)</f>
        <v/>
      </c>
    </row>
    <row r="133">
      <c r="A133" s="12" t="n"/>
      <c r="B133" s="10" t="n"/>
      <c r="C133" s="10" t="n"/>
      <c r="D133" s="10" t="n"/>
      <c r="E133" s="13" t="n"/>
      <c r="F133" s="9">
        <f>IF(E133="","",E133*Settings!$B$4)</f>
        <v/>
      </c>
    </row>
    <row r="134">
      <c r="A134" s="12" t="n"/>
      <c r="B134" s="10" t="n"/>
      <c r="C134" s="10" t="n"/>
      <c r="D134" s="10" t="n"/>
      <c r="E134" s="13" t="n"/>
      <c r="F134" s="9">
        <f>IF(E134="","",E134*Settings!$B$4)</f>
        <v/>
      </c>
    </row>
    <row r="135">
      <c r="A135" s="12" t="n"/>
      <c r="B135" s="10" t="n"/>
      <c r="C135" s="10" t="n"/>
      <c r="D135" s="10" t="n"/>
      <c r="E135" s="13" t="n"/>
      <c r="F135" s="9">
        <f>IF(E135="","",E135*Settings!$B$4)</f>
        <v/>
      </c>
    </row>
    <row r="136">
      <c r="A136" s="12" t="n"/>
      <c r="B136" s="10" t="n"/>
      <c r="C136" s="10" t="n"/>
      <c r="D136" s="10" t="n"/>
      <c r="E136" s="13" t="n"/>
      <c r="F136" s="9">
        <f>IF(E136="","",E136*Settings!$B$4)</f>
        <v/>
      </c>
    </row>
    <row r="137">
      <c r="A137" s="12" t="n"/>
      <c r="B137" s="10" t="n"/>
      <c r="C137" s="10" t="n"/>
      <c r="D137" s="10" t="n"/>
      <c r="E137" s="13" t="n"/>
      <c r="F137" s="9">
        <f>IF(E137="","",E137*Settings!$B$4)</f>
        <v/>
      </c>
    </row>
    <row r="138">
      <c r="A138" s="12" t="n"/>
      <c r="B138" s="10" t="n"/>
      <c r="C138" s="10" t="n"/>
      <c r="D138" s="10" t="n"/>
      <c r="E138" s="13" t="n"/>
      <c r="F138" s="9">
        <f>IF(E138="","",E138*Settings!$B$4)</f>
        <v/>
      </c>
    </row>
    <row r="139">
      <c r="A139" s="12" t="n"/>
      <c r="B139" s="10" t="n"/>
      <c r="C139" s="10" t="n"/>
      <c r="D139" s="10" t="n"/>
      <c r="E139" s="13" t="n"/>
      <c r="F139" s="9">
        <f>IF(E139="","",E139*Settings!$B$4)</f>
        <v/>
      </c>
    </row>
    <row r="140">
      <c r="A140" s="12" t="n"/>
      <c r="B140" s="10" t="n"/>
      <c r="C140" s="10" t="n"/>
      <c r="D140" s="10" t="n"/>
      <c r="E140" s="13" t="n"/>
      <c r="F140" s="9">
        <f>IF(E140="","",E140*Settings!$B$4)</f>
        <v/>
      </c>
    </row>
    <row r="141">
      <c r="A141" s="12" t="n"/>
      <c r="B141" s="10" t="n"/>
      <c r="C141" s="10" t="n"/>
      <c r="D141" s="10" t="n"/>
      <c r="E141" s="13" t="n"/>
      <c r="F141" s="9">
        <f>IF(E141="","",E141*Settings!$B$4)</f>
        <v/>
      </c>
    </row>
    <row r="142">
      <c r="A142" s="12" t="n"/>
      <c r="B142" s="10" t="n"/>
      <c r="C142" s="10" t="n"/>
      <c r="D142" s="10" t="n"/>
      <c r="E142" s="13" t="n"/>
      <c r="F142" s="9">
        <f>IF(E142="","",E142*Settings!$B$4)</f>
        <v/>
      </c>
    </row>
    <row r="143">
      <c r="A143" s="12" t="n"/>
      <c r="B143" s="10" t="n"/>
      <c r="C143" s="10" t="n"/>
      <c r="D143" s="10" t="n"/>
      <c r="E143" s="13" t="n"/>
      <c r="F143" s="9">
        <f>IF(E143="","",E143*Settings!$B$4)</f>
        <v/>
      </c>
    </row>
    <row r="144">
      <c r="A144" s="12" t="n"/>
      <c r="B144" s="10" t="n"/>
      <c r="C144" s="10" t="n"/>
      <c r="D144" s="10" t="n"/>
      <c r="E144" s="13" t="n"/>
      <c r="F144" s="9">
        <f>IF(E144="","",E144*Settings!$B$4)</f>
        <v/>
      </c>
    </row>
    <row r="145">
      <c r="A145" s="12" t="n"/>
      <c r="B145" s="10" t="n"/>
      <c r="C145" s="10" t="n"/>
      <c r="D145" s="10" t="n"/>
      <c r="E145" s="13" t="n"/>
      <c r="F145" s="9">
        <f>IF(E145="","",E145*Settings!$B$4)</f>
        <v/>
      </c>
    </row>
    <row r="146">
      <c r="A146" s="12" t="n"/>
      <c r="B146" s="10" t="n"/>
      <c r="C146" s="10" t="n"/>
      <c r="D146" s="10" t="n"/>
      <c r="E146" s="13" t="n"/>
      <c r="F146" s="9">
        <f>IF(E146="","",E146*Settings!$B$4)</f>
        <v/>
      </c>
    </row>
    <row r="147">
      <c r="A147" s="12" t="n"/>
      <c r="B147" s="10" t="n"/>
      <c r="C147" s="10" t="n"/>
      <c r="D147" s="10" t="n"/>
      <c r="E147" s="13" t="n"/>
      <c r="F147" s="9">
        <f>IF(E147="","",E147*Settings!$B$4)</f>
        <v/>
      </c>
    </row>
    <row r="148">
      <c r="A148" s="12" t="n"/>
      <c r="B148" s="10" t="n"/>
      <c r="C148" s="10" t="n"/>
      <c r="D148" s="10" t="n"/>
      <c r="E148" s="13" t="n"/>
      <c r="F148" s="9">
        <f>IF(E148="","",E148*Settings!$B$4)</f>
        <v/>
      </c>
    </row>
    <row r="149">
      <c r="A149" s="12" t="n"/>
      <c r="B149" s="10" t="n"/>
      <c r="C149" s="10" t="n"/>
      <c r="D149" s="10" t="n"/>
      <c r="E149" s="13" t="n"/>
      <c r="F149" s="9">
        <f>IF(E149="","",E149*Settings!$B$4)</f>
        <v/>
      </c>
    </row>
    <row r="150">
      <c r="A150" s="12" t="n"/>
      <c r="B150" s="10" t="n"/>
      <c r="C150" s="10" t="n"/>
      <c r="D150" s="10" t="n"/>
      <c r="E150" s="13" t="n"/>
      <c r="F150" s="9">
        <f>IF(E150="","",E150*Settings!$B$4)</f>
        <v/>
      </c>
    </row>
    <row r="151">
      <c r="A151" s="12" t="n"/>
      <c r="B151" s="10" t="n"/>
      <c r="C151" s="10" t="n"/>
      <c r="D151" s="10" t="n"/>
      <c r="E151" s="13" t="n"/>
      <c r="F151" s="9">
        <f>IF(E151="","",E151*Settings!$B$4)</f>
        <v/>
      </c>
    </row>
    <row r="152">
      <c r="A152" s="12" t="n"/>
      <c r="B152" s="10" t="n"/>
      <c r="C152" s="10" t="n"/>
      <c r="D152" s="10" t="n"/>
      <c r="E152" s="13" t="n"/>
      <c r="F152" s="9">
        <f>IF(E152="","",E152*Settings!$B$4)</f>
        <v/>
      </c>
    </row>
    <row r="153">
      <c r="A153" s="12" t="n"/>
      <c r="B153" s="10" t="n"/>
      <c r="C153" s="10" t="n"/>
      <c r="D153" s="10" t="n"/>
      <c r="E153" s="13" t="n"/>
      <c r="F153" s="9">
        <f>IF(E153="","",E153*Settings!$B$4)</f>
        <v/>
      </c>
    </row>
    <row r="154">
      <c r="A154" s="12" t="n"/>
      <c r="B154" s="10" t="n"/>
      <c r="C154" s="10" t="n"/>
      <c r="D154" s="10" t="n"/>
      <c r="E154" s="13" t="n"/>
      <c r="F154" s="9">
        <f>IF(E154="","",E154*Settings!$B$4)</f>
        <v/>
      </c>
    </row>
    <row r="155">
      <c r="A155" s="12" t="n"/>
      <c r="B155" s="10" t="n"/>
      <c r="C155" s="10" t="n"/>
      <c r="D155" s="10" t="n"/>
      <c r="E155" s="13" t="n"/>
      <c r="F155" s="9">
        <f>IF(E155="","",E155*Settings!$B$4)</f>
        <v/>
      </c>
    </row>
    <row r="156">
      <c r="A156" s="12" t="n"/>
      <c r="B156" s="10" t="n"/>
      <c r="C156" s="10" t="n"/>
      <c r="D156" s="10" t="n"/>
      <c r="E156" s="13" t="n"/>
      <c r="F156" s="9">
        <f>IF(E156="","",E156*Settings!$B$4)</f>
        <v/>
      </c>
    </row>
    <row r="157">
      <c r="A157" s="12" t="n"/>
      <c r="B157" s="10" t="n"/>
      <c r="C157" s="10" t="n"/>
      <c r="D157" s="10" t="n"/>
      <c r="E157" s="13" t="n"/>
      <c r="F157" s="9">
        <f>IF(E157="","",E157*Settings!$B$4)</f>
        <v/>
      </c>
    </row>
    <row r="158">
      <c r="A158" s="12" t="n"/>
      <c r="B158" s="10" t="n"/>
      <c r="C158" s="10" t="n"/>
      <c r="D158" s="10" t="n"/>
      <c r="E158" s="13" t="n"/>
      <c r="F158" s="9">
        <f>IF(E158="","",E158*Settings!$B$4)</f>
        <v/>
      </c>
    </row>
    <row r="159">
      <c r="A159" s="12" t="n"/>
      <c r="B159" s="10" t="n"/>
      <c r="C159" s="10" t="n"/>
      <c r="D159" s="10" t="n"/>
      <c r="E159" s="13" t="n"/>
      <c r="F159" s="9">
        <f>IF(E159="","",E159*Settings!$B$4)</f>
        <v/>
      </c>
    </row>
    <row r="160">
      <c r="A160" s="12" t="n"/>
      <c r="B160" s="10" t="n"/>
      <c r="C160" s="10" t="n"/>
      <c r="D160" s="10" t="n"/>
      <c r="E160" s="13" t="n"/>
      <c r="F160" s="9">
        <f>IF(E160="","",E160*Settings!$B$4)</f>
        <v/>
      </c>
    </row>
    <row r="161">
      <c r="A161" s="12" t="n"/>
      <c r="B161" s="10" t="n"/>
      <c r="C161" s="10" t="n"/>
      <c r="D161" s="10" t="n"/>
      <c r="E161" s="13" t="n"/>
      <c r="F161" s="9">
        <f>IF(E161="","",E161*Settings!$B$4)</f>
        <v/>
      </c>
    </row>
    <row r="162">
      <c r="A162" s="12" t="n"/>
      <c r="B162" s="10" t="n"/>
      <c r="C162" s="10" t="n"/>
      <c r="D162" s="10" t="n"/>
      <c r="E162" s="13" t="n"/>
      <c r="F162" s="9">
        <f>IF(E162="","",E162*Settings!$B$4)</f>
        <v/>
      </c>
    </row>
    <row r="163">
      <c r="A163" s="12" t="n"/>
      <c r="B163" s="10" t="n"/>
      <c r="C163" s="10" t="n"/>
      <c r="D163" s="10" t="n"/>
      <c r="E163" s="13" t="n"/>
      <c r="F163" s="9">
        <f>IF(E163="","",E163*Settings!$B$4)</f>
        <v/>
      </c>
    </row>
    <row r="164">
      <c r="A164" s="12" t="n"/>
      <c r="B164" s="10" t="n"/>
      <c r="C164" s="10" t="n"/>
      <c r="D164" s="10" t="n"/>
      <c r="E164" s="13" t="n"/>
      <c r="F164" s="9">
        <f>IF(E164="","",E164*Settings!$B$4)</f>
        <v/>
      </c>
    </row>
    <row r="165">
      <c r="A165" s="12" t="n"/>
      <c r="B165" s="10" t="n"/>
      <c r="C165" s="10" t="n"/>
      <c r="D165" s="10" t="n"/>
      <c r="E165" s="13" t="n"/>
      <c r="F165" s="9">
        <f>IF(E165="","",E165*Settings!$B$4)</f>
        <v/>
      </c>
    </row>
    <row r="166">
      <c r="A166" s="12" t="n"/>
      <c r="B166" s="10" t="n"/>
      <c r="C166" s="10" t="n"/>
      <c r="D166" s="10" t="n"/>
      <c r="E166" s="13" t="n"/>
      <c r="F166" s="9">
        <f>IF(E166="","",E166*Settings!$B$4)</f>
        <v/>
      </c>
    </row>
    <row r="167">
      <c r="A167" s="12" t="n"/>
      <c r="B167" s="10" t="n"/>
      <c r="C167" s="10" t="n"/>
      <c r="D167" s="10" t="n"/>
      <c r="E167" s="13" t="n"/>
      <c r="F167" s="9">
        <f>IF(E167="","",E167*Settings!$B$4)</f>
        <v/>
      </c>
    </row>
    <row r="168">
      <c r="A168" s="12" t="n"/>
      <c r="B168" s="10" t="n"/>
      <c r="C168" s="10" t="n"/>
      <c r="D168" s="10" t="n"/>
      <c r="E168" s="13" t="n"/>
      <c r="F168" s="9">
        <f>IF(E168="","",E168*Settings!$B$4)</f>
        <v/>
      </c>
    </row>
    <row r="169">
      <c r="A169" s="12" t="n"/>
      <c r="B169" s="10" t="n"/>
      <c r="C169" s="10" t="n"/>
      <c r="D169" s="10" t="n"/>
      <c r="E169" s="13" t="n"/>
      <c r="F169" s="9">
        <f>IF(E169="","",E169*Settings!$B$4)</f>
        <v/>
      </c>
    </row>
    <row r="170">
      <c r="A170" s="12" t="n"/>
      <c r="B170" s="10" t="n"/>
      <c r="C170" s="10" t="n"/>
      <c r="D170" s="10" t="n"/>
      <c r="E170" s="13" t="n"/>
      <c r="F170" s="9">
        <f>IF(E170="","",E170*Settings!$B$4)</f>
        <v/>
      </c>
    </row>
    <row r="171">
      <c r="A171" s="12" t="n"/>
      <c r="B171" s="10" t="n"/>
      <c r="C171" s="10" t="n"/>
      <c r="D171" s="10" t="n"/>
      <c r="E171" s="13" t="n"/>
      <c r="F171" s="9">
        <f>IF(E171="","",E171*Settings!$B$4)</f>
        <v/>
      </c>
    </row>
    <row r="172">
      <c r="A172" s="12" t="n"/>
      <c r="B172" s="10" t="n"/>
      <c r="C172" s="10" t="n"/>
      <c r="D172" s="10" t="n"/>
      <c r="E172" s="13" t="n"/>
      <c r="F172" s="9">
        <f>IF(E172="","",E172*Settings!$B$4)</f>
        <v/>
      </c>
    </row>
    <row r="173">
      <c r="A173" s="12" t="n"/>
      <c r="B173" s="10" t="n"/>
      <c r="C173" s="10" t="n"/>
      <c r="D173" s="10" t="n"/>
      <c r="E173" s="13" t="n"/>
      <c r="F173" s="9">
        <f>IF(E173="","",E173*Settings!$B$4)</f>
        <v/>
      </c>
    </row>
    <row r="174">
      <c r="A174" s="12" t="n"/>
      <c r="B174" s="10" t="n"/>
      <c r="C174" s="10" t="n"/>
      <c r="D174" s="10" t="n"/>
      <c r="E174" s="13" t="n"/>
      <c r="F174" s="9">
        <f>IF(E174="","",E174*Settings!$B$4)</f>
        <v/>
      </c>
    </row>
    <row r="175">
      <c r="A175" s="12" t="n"/>
      <c r="B175" s="10" t="n"/>
      <c r="C175" s="10" t="n"/>
      <c r="D175" s="10" t="n"/>
      <c r="E175" s="13" t="n"/>
      <c r="F175" s="9">
        <f>IF(E175="","",E175*Settings!$B$4)</f>
        <v/>
      </c>
    </row>
    <row r="176">
      <c r="A176" s="12" t="n"/>
      <c r="B176" s="10" t="n"/>
      <c r="C176" s="10" t="n"/>
      <c r="D176" s="10" t="n"/>
      <c r="E176" s="13" t="n"/>
      <c r="F176" s="9">
        <f>IF(E176="","",E176*Settings!$B$4)</f>
        <v/>
      </c>
    </row>
    <row r="177">
      <c r="A177" s="12" t="n"/>
      <c r="B177" s="10" t="n"/>
      <c r="C177" s="10" t="n"/>
      <c r="D177" s="10" t="n"/>
      <c r="E177" s="13" t="n"/>
      <c r="F177" s="9">
        <f>IF(E177="","",E177*Settings!$B$4)</f>
        <v/>
      </c>
    </row>
    <row r="178">
      <c r="A178" s="12" t="n"/>
      <c r="B178" s="10" t="n"/>
      <c r="C178" s="10" t="n"/>
      <c r="D178" s="10" t="n"/>
      <c r="E178" s="13" t="n"/>
      <c r="F178" s="9">
        <f>IF(E178="","",E178*Settings!$B$4)</f>
        <v/>
      </c>
    </row>
    <row r="179">
      <c r="A179" s="12" t="n"/>
      <c r="B179" s="10" t="n"/>
      <c r="C179" s="10" t="n"/>
      <c r="D179" s="10" t="n"/>
      <c r="E179" s="13" t="n"/>
      <c r="F179" s="9">
        <f>IF(E179="","",E179*Settings!$B$4)</f>
        <v/>
      </c>
    </row>
    <row r="180">
      <c r="A180" s="12" t="n"/>
      <c r="B180" s="10" t="n"/>
      <c r="C180" s="10" t="n"/>
      <c r="D180" s="10" t="n"/>
      <c r="E180" s="13" t="n"/>
      <c r="F180" s="9">
        <f>IF(E180="","",E180*Settings!$B$4)</f>
        <v/>
      </c>
    </row>
    <row r="181">
      <c r="A181" s="12" t="n"/>
      <c r="B181" s="10" t="n"/>
      <c r="C181" s="10" t="n"/>
      <c r="D181" s="10" t="n"/>
      <c r="E181" s="13" t="n"/>
      <c r="F181" s="9">
        <f>IF(E181="","",E181*Settings!$B$4)</f>
        <v/>
      </c>
    </row>
    <row r="182">
      <c r="A182" s="12" t="n"/>
      <c r="B182" s="10" t="n"/>
      <c r="C182" s="10" t="n"/>
      <c r="D182" s="10" t="n"/>
      <c r="E182" s="13" t="n"/>
      <c r="F182" s="9">
        <f>IF(E182="","",E182*Settings!$B$4)</f>
        <v/>
      </c>
    </row>
    <row r="183">
      <c r="A183" s="12" t="n"/>
      <c r="B183" s="10" t="n"/>
      <c r="C183" s="10" t="n"/>
      <c r="D183" s="10" t="n"/>
      <c r="E183" s="13" t="n"/>
      <c r="F183" s="9">
        <f>IF(E183="","",E183*Settings!$B$4)</f>
        <v/>
      </c>
    </row>
    <row r="184">
      <c r="A184" s="12" t="n"/>
      <c r="B184" s="10" t="n"/>
      <c r="C184" s="10" t="n"/>
      <c r="D184" s="10" t="n"/>
      <c r="E184" s="13" t="n"/>
      <c r="F184" s="9">
        <f>IF(E184="","",E184*Settings!$B$4)</f>
        <v/>
      </c>
    </row>
    <row r="185">
      <c r="A185" s="12" t="n"/>
      <c r="B185" s="10" t="n"/>
      <c r="C185" s="10" t="n"/>
      <c r="D185" s="10" t="n"/>
      <c r="E185" s="13" t="n"/>
      <c r="F185" s="9">
        <f>IF(E185="","",E185*Settings!$B$4)</f>
        <v/>
      </c>
    </row>
    <row r="186">
      <c r="A186" s="12" t="n"/>
      <c r="B186" s="10" t="n"/>
      <c r="C186" s="10" t="n"/>
      <c r="D186" s="10" t="n"/>
      <c r="E186" s="13" t="n"/>
      <c r="F186" s="9">
        <f>IF(E186="","",E186*Settings!$B$4)</f>
        <v/>
      </c>
    </row>
    <row r="187">
      <c r="A187" s="12" t="n"/>
      <c r="B187" s="10" t="n"/>
      <c r="C187" s="10" t="n"/>
      <c r="D187" s="10" t="n"/>
      <c r="E187" s="13" t="n"/>
      <c r="F187" s="9">
        <f>IF(E187="","",E187*Settings!$B$4)</f>
        <v/>
      </c>
    </row>
    <row r="188">
      <c r="A188" s="12" t="n"/>
      <c r="B188" s="10" t="n"/>
      <c r="C188" s="10" t="n"/>
      <c r="D188" s="10" t="n"/>
      <c r="E188" s="13" t="n"/>
      <c r="F188" s="9">
        <f>IF(E188="","",E188*Settings!$B$4)</f>
        <v/>
      </c>
    </row>
    <row r="189">
      <c r="A189" s="12" t="n"/>
      <c r="B189" s="10" t="n"/>
      <c r="C189" s="10" t="n"/>
      <c r="D189" s="10" t="n"/>
      <c r="E189" s="13" t="n"/>
      <c r="F189" s="9">
        <f>IF(E189="","",E189*Settings!$B$4)</f>
        <v/>
      </c>
    </row>
    <row r="190">
      <c r="A190" s="12" t="n"/>
      <c r="B190" s="10" t="n"/>
      <c r="C190" s="10" t="n"/>
      <c r="D190" s="10" t="n"/>
      <c r="E190" s="13" t="n"/>
      <c r="F190" s="9">
        <f>IF(E190="","",E190*Settings!$B$4)</f>
        <v/>
      </c>
    </row>
    <row r="191">
      <c r="A191" s="12" t="n"/>
      <c r="B191" s="10" t="n"/>
      <c r="C191" s="10" t="n"/>
      <c r="D191" s="10" t="n"/>
      <c r="E191" s="13" t="n"/>
      <c r="F191" s="9">
        <f>IF(E191="","",E191*Settings!$B$4)</f>
        <v/>
      </c>
    </row>
    <row r="192">
      <c r="A192" s="12" t="n"/>
      <c r="B192" s="10" t="n"/>
      <c r="C192" s="10" t="n"/>
      <c r="D192" s="10" t="n"/>
      <c r="E192" s="13" t="n"/>
      <c r="F192" s="9">
        <f>IF(E192="","",E192*Settings!$B$4)</f>
        <v/>
      </c>
    </row>
    <row r="193">
      <c r="A193" s="12" t="n"/>
      <c r="B193" s="10" t="n"/>
      <c r="C193" s="10" t="n"/>
      <c r="D193" s="10" t="n"/>
      <c r="E193" s="13" t="n"/>
      <c r="F193" s="9">
        <f>IF(E193="","",E193*Settings!$B$4)</f>
        <v/>
      </c>
    </row>
    <row r="194">
      <c r="A194" s="12" t="n"/>
      <c r="B194" s="10" t="n"/>
      <c r="C194" s="10" t="n"/>
      <c r="D194" s="10" t="n"/>
      <c r="E194" s="13" t="n"/>
      <c r="F194" s="9">
        <f>IF(E194="","",E194*Settings!$B$4)</f>
        <v/>
      </c>
    </row>
    <row r="195">
      <c r="A195" s="12" t="n"/>
      <c r="B195" s="10" t="n"/>
      <c r="C195" s="10" t="n"/>
      <c r="D195" s="10" t="n"/>
      <c r="E195" s="13" t="n"/>
      <c r="F195" s="9">
        <f>IF(E195="","",E195*Settings!$B$4)</f>
        <v/>
      </c>
    </row>
    <row r="196">
      <c r="A196" s="12" t="n"/>
      <c r="B196" s="10" t="n"/>
      <c r="C196" s="10" t="n"/>
      <c r="D196" s="10" t="n"/>
      <c r="E196" s="13" t="n"/>
      <c r="F196" s="9">
        <f>IF(E196="","",E196*Settings!$B$4)</f>
        <v/>
      </c>
    </row>
    <row r="197">
      <c r="A197" s="12" t="n"/>
      <c r="B197" s="10" t="n"/>
      <c r="C197" s="10" t="n"/>
      <c r="D197" s="10" t="n"/>
      <c r="E197" s="13" t="n"/>
      <c r="F197" s="9">
        <f>IF(E197="","",E197*Settings!$B$4)</f>
        <v/>
      </c>
    </row>
    <row r="198">
      <c r="A198" s="12" t="n"/>
      <c r="B198" s="10" t="n"/>
      <c r="C198" s="10" t="n"/>
      <c r="D198" s="10" t="n"/>
      <c r="E198" s="13" t="n"/>
      <c r="F198" s="9">
        <f>IF(E198="","",E198*Settings!$B$4)</f>
        <v/>
      </c>
    </row>
    <row r="199">
      <c r="A199" s="12" t="n"/>
      <c r="B199" s="10" t="n"/>
      <c r="C199" s="10" t="n"/>
      <c r="D199" s="10" t="n"/>
      <c r="E199" s="13" t="n"/>
      <c r="F199" s="9">
        <f>IF(E199="","",E199*Settings!$B$4)</f>
        <v/>
      </c>
    </row>
    <row r="200">
      <c r="A200" s="12" t="n"/>
      <c r="B200" s="10" t="n"/>
      <c r="C200" s="10" t="n"/>
      <c r="D200" s="10" t="n"/>
      <c r="E200" s="13" t="n"/>
      <c r="F200" s="9">
        <f>IF(E200="","",E200*Settings!$B$4)</f>
        <v/>
      </c>
    </row>
    <row r="201">
      <c r="A201" s="12" t="n"/>
      <c r="B201" s="10" t="n"/>
      <c r="C201" s="10" t="n"/>
      <c r="D201" s="10" t="n"/>
      <c r="E201" s="13" t="n"/>
      <c r="F201" s="9">
        <f>IF(E201="","",E201*Settings!$B$4)</f>
        <v/>
      </c>
    </row>
    <row r="202">
      <c r="A202" s="12" t="n"/>
      <c r="B202" s="10" t="n"/>
      <c r="C202" s="10" t="n"/>
      <c r="D202" s="10" t="n"/>
      <c r="E202" s="13" t="n"/>
      <c r="F202" s="9">
        <f>IF(E202="","",E202*Settings!$B$4)</f>
        <v/>
      </c>
    </row>
    <row r="203">
      <c r="A203" s="12" t="n"/>
      <c r="B203" s="10" t="n"/>
      <c r="C203" s="10" t="n"/>
      <c r="D203" s="10" t="n"/>
      <c r="E203" s="13" t="n"/>
      <c r="F203" s="9">
        <f>IF(E203="","",E203*Settings!$B$4)</f>
        <v/>
      </c>
    </row>
    <row r="204">
      <c r="A204" s="12" t="n"/>
      <c r="B204" s="10" t="n"/>
      <c r="C204" s="10" t="n"/>
      <c r="D204" s="10" t="n"/>
      <c r="E204" s="13" t="n"/>
      <c r="F204" s="9">
        <f>IF(E204="","",E204*Settings!$B$4)</f>
        <v/>
      </c>
    </row>
    <row r="205">
      <c r="A205" s="12" t="n"/>
      <c r="B205" s="10" t="n"/>
      <c r="C205" s="10" t="n"/>
      <c r="D205" s="10" t="n"/>
      <c r="E205" s="13" t="n"/>
      <c r="F205" s="9">
        <f>IF(E205="","",E205*Settings!$B$4)</f>
        <v/>
      </c>
    </row>
    <row r="206">
      <c r="A206" s="12" t="n"/>
      <c r="B206" s="10" t="n"/>
      <c r="C206" s="10" t="n"/>
      <c r="D206" s="10" t="n"/>
      <c r="E206" s="13" t="n"/>
      <c r="F206" s="9">
        <f>IF(E206="","",E206*Settings!$B$4)</f>
        <v/>
      </c>
    </row>
    <row r="207">
      <c r="A207" s="12" t="n"/>
      <c r="B207" s="10" t="n"/>
      <c r="C207" s="10" t="n"/>
      <c r="D207" s="10" t="n"/>
      <c r="E207" s="13" t="n"/>
      <c r="F207" s="9">
        <f>IF(E207="","",E207*Settings!$B$4)</f>
        <v/>
      </c>
    </row>
    <row r="208">
      <c r="A208" s="12" t="n"/>
      <c r="B208" s="10" t="n"/>
      <c r="C208" s="10" t="n"/>
      <c r="D208" s="10" t="n"/>
      <c r="E208" s="13" t="n"/>
      <c r="F208" s="9">
        <f>IF(E208="","",E208*Settings!$B$4)</f>
        <v/>
      </c>
    </row>
    <row r="209">
      <c r="A209" s="12" t="n"/>
      <c r="B209" s="10" t="n"/>
      <c r="C209" s="10" t="n"/>
      <c r="D209" s="10" t="n"/>
      <c r="E209" s="13" t="n"/>
      <c r="F209" s="9">
        <f>IF(E209="","",E209*Settings!$B$4)</f>
        <v/>
      </c>
    </row>
    <row r="210">
      <c r="A210" s="12" t="n"/>
      <c r="B210" s="10" t="n"/>
      <c r="C210" s="10" t="n"/>
      <c r="D210" s="10" t="n"/>
      <c r="E210" s="13" t="n"/>
      <c r="F210" s="9">
        <f>IF(E210="","",E210*Settings!$B$4)</f>
        <v/>
      </c>
    </row>
    <row r="211">
      <c r="A211" s="12" t="n"/>
      <c r="B211" s="10" t="n"/>
      <c r="C211" s="10" t="n"/>
      <c r="D211" s="10" t="n"/>
      <c r="E211" s="13" t="n"/>
      <c r="F211" s="9">
        <f>IF(E211="","",E211*Settings!$B$4)</f>
        <v/>
      </c>
    </row>
    <row r="212">
      <c r="A212" s="12" t="n"/>
      <c r="B212" s="10" t="n"/>
      <c r="C212" s="10" t="n"/>
      <c r="D212" s="10" t="n"/>
      <c r="E212" s="13" t="n"/>
      <c r="F212" s="9">
        <f>IF(E212="","",E212*Settings!$B$4)</f>
        <v/>
      </c>
    </row>
    <row r="213">
      <c r="A213" s="12" t="n"/>
      <c r="B213" s="10" t="n"/>
      <c r="C213" s="10" t="n"/>
      <c r="D213" s="10" t="n"/>
      <c r="E213" s="13" t="n"/>
      <c r="F213" s="9">
        <f>IF(E213="","",E213*Settings!$B$4)</f>
        <v/>
      </c>
    </row>
    <row r="214">
      <c r="A214" s="12" t="n"/>
      <c r="B214" s="10" t="n"/>
      <c r="C214" s="10" t="n"/>
      <c r="D214" s="10" t="n"/>
      <c r="E214" s="13" t="n"/>
      <c r="F214" s="9">
        <f>IF(E214="","",E214*Settings!$B$4)</f>
        <v/>
      </c>
    </row>
    <row r="215">
      <c r="A215" s="12" t="n"/>
      <c r="B215" s="10" t="n"/>
      <c r="C215" s="10" t="n"/>
      <c r="D215" s="10" t="n"/>
      <c r="E215" s="13" t="n"/>
      <c r="F215" s="9">
        <f>IF(E215="","",E215*Settings!$B$4)</f>
        <v/>
      </c>
    </row>
    <row r="216">
      <c r="A216" s="12" t="n"/>
      <c r="B216" s="10" t="n"/>
      <c r="C216" s="10" t="n"/>
      <c r="D216" s="10" t="n"/>
      <c r="E216" s="13" t="n"/>
      <c r="F216" s="9">
        <f>IF(E216="","",E216*Settings!$B$4)</f>
        <v/>
      </c>
    </row>
    <row r="217">
      <c r="A217" s="12" t="n"/>
      <c r="B217" s="10" t="n"/>
      <c r="C217" s="10" t="n"/>
      <c r="D217" s="10" t="n"/>
      <c r="E217" s="13" t="n"/>
      <c r="F217" s="9">
        <f>IF(E217="","",E217*Settings!$B$4)</f>
        <v/>
      </c>
    </row>
    <row r="218">
      <c r="A218" s="12" t="n"/>
      <c r="B218" s="10" t="n"/>
      <c r="C218" s="10" t="n"/>
      <c r="D218" s="10" t="n"/>
      <c r="E218" s="13" t="n"/>
      <c r="F218" s="9">
        <f>IF(E218="","",E218*Settings!$B$4)</f>
        <v/>
      </c>
    </row>
    <row r="219">
      <c r="A219" s="12" t="n"/>
      <c r="B219" s="10" t="n"/>
      <c r="C219" s="10" t="n"/>
      <c r="D219" s="10" t="n"/>
      <c r="E219" s="13" t="n"/>
      <c r="F219" s="9">
        <f>IF(E219="","",E219*Settings!$B$4)</f>
        <v/>
      </c>
    </row>
    <row r="220">
      <c r="A220" s="12" t="n"/>
      <c r="B220" s="10" t="n"/>
      <c r="C220" s="10" t="n"/>
      <c r="D220" s="10" t="n"/>
      <c r="E220" s="13" t="n"/>
      <c r="F220" s="9">
        <f>IF(E220="","",E220*Settings!$B$4)</f>
        <v/>
      </c>
    </row>
    <row r="221">
      <c r="A221" s="12" t="n"/>
      <c r="B221" s="10" t="n"/>
      <c r="C221" s="10" t="n"/>
      <c r="D221" s="10" t="n"/>
      <c r="E221" s="13" t="n"/>
      <c r="F221" s="9">
        <f>IF(E221="","",E221*Settings!$B$4)</f>
        <v/>
      </c>
    </row>
    <row r="222">
      <c r="A222" s="12" t="n"/>
      <c r="B222" s="10" t="n"/>
      <c r="C222" s="10" t="n"/>
      <c r="D222" s="10" t="n"/>
      <c r="E222" s="13" t="n"/>
      <c r="F222" s="9">
        <f>IF(E222="","",E222*Settings!$B$4)</f>
        <v/>
      </c>
    </row>
    <row r="223">
      <c r="A223" s="12" t="n"/>
      <c r="B223" s="10" t="n"/>
      <c r="C223" s="10" t="n"/>
      <c r="D223" s="10" t="n"/>
      <c r="E223" s="13" t="n"/>
      <c r="F223" s="9">
        <f>IF(E223="","",E223*Settings!$B$4)</f>
        <v/>
      </c>
    </row>
    <row r="224">
      <c r="A224" s="12" t="n"/>
      <c r="B224" s="10" t="n"/>
      <c r="C224" s="10" t="n"/>
      <c r="D224" s="10" t="n"/>
      <c r="E224" s="13" t="n"/>
      <c r="F224" s="9">
        <f>IF(E224="","",E224*Settings!$B$4)</f>
        <v/>
      </c>
    </row>
    <row r="225">
      <c r="A225" s="12" t="n"/>
      <c r="B225" s="10" t="n"/>
      <c r="C225" s="10" t="n"/>
      <c r="D225" s="10" t="n"/>
      <c r="E225" s="13" t="n"/>
      <c r="F225" s="9">
        <f>IF(E225="","",E225*Settings!$B$4)</f>
        <v/>
      </c>
    </row>
    <row r="226">
      <c r="A226" s="12" t="n"/>
      <c r="B226" s="10" t="n"/>
      <c r="C226" s="10" t="n"/>
      <c r="D226" s="10" t="n"/>
      <c r="E226" s="13" t="n"/>
      <c r="F226" s="9">
        <f>IF(E226="","",E226*Settings!$B$4)</f>
        <v/>
      </c>
    </row>
    <row r="227">
      <c r="A227" s="12" t="n"/>
      <c r="B227" s="10" t="n"/>
      <c r="C227" s="10" t="n"/>
      <c r="D227" s="10" t="n"/>
      <c r="E227" s="13" t="n"/>
      <c r="F227" s="9">
        <f>IF(E227="","",E227*Settings!$B$4)</f>
        <v/>
      </c>
    </row>
    <row r="228">
      <c r="A228" s="12" t="n"/>
      <c r="B228" s="10" t="n"/>
      <c r="C228" s="10" t="n"/>
      <c r="D228" s="10" t="n"/>
      <c r="E228" s="13" t="n"/>
      <c r="F228" s="9">
        <f>IF(E228="","",E228*Settings!$B$4)</f>
        <v/>
      </c>
    </row>
    <row r="229">
      <c r="A229" s="12" t="n"/>
      <c r="B229" s="10" t="n"/>
      <c r="C229" s="10" t="n"/>
      <c r="D229" s="10" t="n"/>
      <c r="E229" s="13" t="n"/>
      <c r="F229" s="9">
        <f>IF(E229="","",E229*Settings!$B$4)</f>
        <v/>
      </c>
    </row>
    <row r="230">
      <c r="A230" s="12" t="n"/>
      <c r="B230" s="10" t="n"/>
      <c r="C230" s="10" t="n"/>
      <c r="D230" s="10" t="n"/>
      <c r="E230" s="13" t="n"/>
      <c r="F230" s="9">
        <f>IF(E230="","",E230*Settings!$B$4)</f>
        <v/>
      </c>
    </row>
    <row r="231">
      <c r="A231" s="12" t="n"/>
      <c r="B231" s="10" t="n"/>
      <c r="C231" s="10" t="n"/>
      <c r="D231" s="10" t="n"/>
      <c r="E231" s="13" t="n"/>
      <c r="F231" s="9">
        <f>IF(E231="","",E231*Settings!$B$4)</f>
        <v/>
      </c>
    </row>
    <row r="232">
      <c r="A232" s="12" t="n"/>
      <c r="B232" s="10" t="n"/>
      <c r="C232" s="10" t="n"/>
      <c r="D232" s="10" t="n"/>
      <c r="E232" s="13" t="n"/>
      <c r="F232" s="9">
        <f>IF(E232="","",E232*Settings!$B$4)</f>
        <v/>
      </c>
    </row>
    <row r="233">
      <c r="A233" s="12" t="n"/>
      <c r="B233" s="10" t="n"/>
      <c r="C233" s="10" t="n"/>
      <c r="D233" s="10" t="n"/>
      <c r="E233" s="13" t="n"/>
      <c r="F233" s="9">
        <f>IF(E233="","",E233*Settings!$B$4)</f>
        <v/>
      </c>
    </row>
    <row r="234">
      <c r="A234" s="12" t="n"/>
      <c r="B234" s="10" t="n"/>
      <c r="C234" s="10" t="n"/>
      <c r="D234" s="10" t="n"/>
      <c r="E234" s="13" t="n"/>
      <c r="F234" s="9">
        <f>IF(E234="","",E234*Settings!$B$4)</f>
        <v/>
      </c>
    </row>
    <row r="235">
      <c r="A235" s="12" t="n"/>
      <c r="B235" s="10" t="n"/>
      <c r="C235" s="10" t="n"/>
      <c r="D235" s="10" t="n"/>
      <c r="E235" s="13" t="n"/>
      <c r="F235" s="9">
        <f>IF(E235="","",E235*Settings!$B$4)</f>
        <v/>
      </c>
    </row>
    <row r="236">
      <c r="A236" s="12" t="n"/>
      <c r="B236" s="10" t="n"/>
      <c r="C236" s="10" t="n"/>
      <c r="D236" s="10" t="n"/>
      <c r="E236" s="13" t="n"/>
      <c r="F236" s="9">
        <f>IF(E236="","",E236*Settings!$B$4)</f>
        <v/>
      </c>
    </row>
    <row r="237">
      <c r="A237" s="12" t="n"/>
      <c r="B237" s="10" t="n"/>
      <c r="C237" s="10" t="n"/>
      <c r="D237" s="10" t="n"/>
      <c r="E237" s="13" t="n"/>
      <c r="F237" s="9">
        <f>IF(E237="","",E237*Settings!$B$4)</f>
        <v/>
      </c>
    </row>
    <row r="238">
      <c r="A238" s="12" t="n"/>
      <c r="B238" s="10" t="n"/>
      <c r="C238" s="10" t="n"/>
      <c r="D238" s="10" t="n"/>
      <c r="E238" s="13" t="n"/>
      <c r="F238" s="9">
        <f>IF(E238="","",E238*Settings!$B$4)</f>
        <v/>
      </c>
    </row>
    <row r="239">
      <c r="A239" s="12" t="n"/>
      <c r="B239" s="10" t="n"/>
      <c r="C239" s="10" t="n"/>
      <c r="D239" s="10" t="n"/>
      <c r="E239" s="13" t="n"/>
      <c r="F239" s="9">
        <f>IF(E239="","",E239*Settings!$B$4)</f>
        <v/>
      </c>
    </row>
    <row r="240">
      <c r="A240" s="12" t="n"/>
      <c r="B240" s="10" t="n"/>
      <c r="C240" s="10" t="n"/>
      <c r="D240" s="10" t="n"/>
      <c r="E240" s="13" t="n"/>
      <c r="F240" s="9">
        <f>IF(E240="","",E240*Settings!$B$4)</f>
        <v/>
      </c>
    </row>
    <row r="241">
      <c r="A241" s="12" t="n"/>
      <c r="B241" s="10" t="n"/>
      <c r="C241" s="10" t="n"/>
      <c r="D241" s="10" t="n"/>
      <c r="E241" s="13" t="n"/>
      <c r="F241" s="9">
        <f>IF(E241="","",E241*Settings!$B$4)</f>
        <v/>
      </c>
    </row>
    <row r="242">
      <c r="A242" s="12" t="n"/>
      <c r="B242" s="10" t="n"/>
      <c r="C242" s="10" t="n"/>
      <c r="D242" s="10" t="n"/>
      <c r="E242" s="13" t="n"/>
      <c r="F242" s="9">
        <f>IF(E242="","",E242*Settings!$B$4)</f>
        <v/>
      </c>
    </row>
    <row r="243">
      <c r="A243" s="12" t="n"/>
      <c r="B243" s="10" t="n"/>
      <c r="C243" s="10" t="n"/>
      <c r="D243" s="10" t="n"/>
      <c r="E243" s="13" t="n"/>
      <c r="F243" s="9">
        <f>IF(E243="","",E243*Settings!$B$4)</f>
        <v/>
      </c>
    </row>
    <row r="244">
      <c r="A244" s="12" t="n"/>
      <c r="B244" s="10" t="n"/>
      <c r="C244" s="10" t="n"/>
      <c r="D244" s="10" t="n"/>
      <c r="E244" s="13" t="n"/>
      <c r="F244" s="9">
        <f>IF(E244="","",E244*Settings!$B$4)</f>
        <v/>
      </c>
    </row>
    <row r="245">
      <c r="A245" s="12" t="n"/>
      <c r="B245" s="10" t="n"/>
      <c r="C245" s="10" t="n"/>
      <c r="D245" s="10" t="n"/>
      <c r="E245" s="13" t="n"/>
      <c r="F245" s="9">
        <f>IF(E245="","",E245*Settings!$B$4)</f>
        <v/>
      </c>
    </row>
    <row r="246">
      <c r="A246" s="12" t="n"/>
      <c r="B246" s="10" t="n"/>
      <c r="C246" s="10" t="n"/>
      <c r="D246" s="10" t="n"/>
      <c r="E246" s="13" t="n"/>
      <c r="F246" s="9">
        <f>IF(E246="","",E246*Settings!$B$4)</f>
        <v/>
      </c>
    </row>
    <row r="247">
      <c r="A247" s="12" t="n"/>
      <c r="B247" s="10" t="n"/>
      <c r="C247" s="10" t="n"/>
      <c r="D247" s="10" t="n"/>
      <c r="E247" s="13" t="n"/>
      <c r="F247" s="9">
        <f>IF(E247="","",E247*Settings!$B$4)</f>
        <v/>
      </c>
    </row>
    <row r="248">
      <c r="A248" s="12" t="n"/>
      <c r="B248" s="10" t="n"/>
      <c r="C248" s="10" t="n"/>
      <c r="D248" s="10" t="n"/>
      <c r="E248" s="13" t="n"/>
      <c r="F248" s="9">
        <f>IF(E248="","",E248*Settings!$B$4)</f>
        <v/>
      </c>
    </row>
    <row r="249">
      <c r="A249" s="12" t="n"/>
      <c r="B249" s="10" t="n"/>
      <c r="C249" s="10" t="n"/>
      <c r="D249" s="10" t="n"/>
      <c r="E249" s="13" t="n"/>
      <c r="F249" s="9">
        <f>IF(E249="","",E249*Settings!$B$4)</f>
        <v/>
      </c>
    </row>
    <row r="250">
      <c r="A250" s="12" t="n"/>
      <c r="B250" s="10" t="n"/>
      <c r="C250" s="10" t="n"/>
      <c r="D250" s="10" t="n"/>
      <c r="E250" s="13" t="n"/>
      <c r="F250" s="9">
        <f>IF(E250="","",E250*Settings!$B$4)</f>
        <v/>
      </c>
    </row>
    <row r="251">
      <c r="A251" s="12" t="n"/>
      <c r="B251" s="10" t="n"/>
      <c r="C251" s="10" t="n"/>
      <c r="D251" s="10" t="n"/>
      <c r="E251" s="13" t="n"/>
      <c r="F251" s="9">
        <f>IF(E251="","",E251*Settings!$B$4)</f>
        <v/>
      </c>
    </row>
    <row r="252">
      <c r="A252" s="12" t="n"/>
      <c r="B252" s="10" t="n"/>
      <c r="C252" s="10" t="n"/>
      <c r="D252" s="10" t="n"/>
      <c r="E252" s="13" t="n"/>
      <c r="F252" s="9">
        <f>IF(E252="","",E252*Settings!$B$4)</f>
        <v/>
      </c>
    </row>
    <row r="253">
      <c r="A253" s="12" t="n"/>
      <c r="B253" s="10" t="n"/>
      <c r="C253" s="10" t="n"/>
      <c r="D253" s="10" t="n"/>
      <c r="E253" s="13" t="n"/>
      <c r="F253" s="9">
        <f>IF(E253="","",E253*Settings!$B$4)</f>
        <v/>
      </c>
    </row>
    <row r="254">
      <c r="A254" s="12" t="n"/>
      <c r="B254" s="10" t="n"/>
      <c r="C254" s="10" t="n"/>
      <c r="D254" s="10" t="n"/>
      <c r="E254" s="13" t="n"/>
      <c r="F254" s="9">
        <f>IF(E254="","",E254*Settings!$B$4)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14" customWidth="1" min="5" max="5"/>
  </cols>
  <sheetData>
    <row r="1" ht="38" customHeight="1">
      <c r="A1" s="1" t="inlineStr">
        <is>
          <t>🧾  Expenses &amp; Supplies</t>
        </is>
      </c>
    </row>
    <row r="2" ht="22" customHeight="1">
      <c r="A2" s="2" t="inlineStr">
        <is>
          <t>Every deductible dollar, categorized for tax time.</t>
        </is>
      </c>
    </row>
    <row r="4">
      <c r="A4" s="7" t="inlineStr">
        <is>
          <t>Date</t>
        </is>
      </c>
      <c r="B4" s="7" t="inlineStr">
        <is>
          <t>Category</t>
        </is>
      </c>
      <c r="C4" s="7" t="inlineStr">
        <is>
          <t>Vendor</t>
        </is>
      </c>
      <c r="D4" s="7" t="inlineStr">
        <is>
          <t>Amount</t>
        </is>
      </c>
      <c r="E4" s="7" t="inlineStr">
        <is>
          <t>Deductible?</t>
        </is>
      </c>
    </row>
    <row r="5">
      <c r="A5" s="12" t="inlineStr">
        <is>
          <t>2026-01-03</t>
        </is>
      </c>
      <c r="B5" s="10" t="inlineStr">
        <is>
          <t>E&amp;O Insurance</t>
        </is>
      </c>
      <c r="C5" s="10" t="inlineStr">
        <is>
          <t>NotaryInsure</t>
        </is>
      </c>
      <c r="D5" s="9" t="n">
        <v>75</v>
      </c>
      <c r="E5" s="10" t="inlineStr">
        <is>
          <t>Yes</t>
        </is>
      </c>
    </row>
    <row r="6">
      <c r="A6" s="12" t="inlineStr">
        <is>
          <t>2026-01-05</t>
        </is>
      </c>
      <c r="B6" s="10" t="inlineStr">
        <is>
          <t>Supplies</t>
        </is>
      </c>
      <c r="C6" s="10" t="inlineStr">
        <is>
          <t>Amazon</t>
        </is>
      </c>
      <c r="D6" s="9" t="n">
        <v>38.5</v>
      </c>
      <c r="E6" s="10" t="inlineStr">
        <is>
          <t>Yes</t>
        </is>
      </c>
    </row>
    <row r="7">
      <c r="A7" s="12" t="inlineStr">
        <is>
          <t>2026-01-09</t>
        </is>
      </c>
      <c r="B7" s="10" t="inlineStr">
        <is>
          <t>Software</t>
        </is>
      </c>
      <c r="C7" s="10" t="inlineStr">
        <is>
          <t>Signing Agent HQ</t>
        </is>
      </c>
      <c r="D7" s="9" t="n">
        <v>19</v>
      </c>
      <c r="E7" s="10" t="inlineStr">
        <is>
          <t>Yes</t>
        </is>
      </c>
    </row>
    <row r="8">
      <c r="A8" s="12" t="inlineStr">
        <is>
          <t>2026-01-10</t>
        </is>
      </c>
      <c r="B8" s="10" t="inlineStr">
        <is>
          <t>Printing</t>
        </is>
      </c>
      <c r="C8" s="10" t="inlineStr">
        <is>
          <t>Office Depot</t>
        </is>
      </c>
      <c r="D8" s="9" t="n">
        <v>60</v>
      </c>
      <c r="E8" s="10" t="inlineStr">
        <is>
          <t>Yes</t>
        </is>
      </c>
    </row>
    <row r="9">
      <c r="A9" s="12" t="n"/>
      <c r="B9" s="10" t="n"/>
      <c r="C9" s="10" t="n"/>
      <c r="D9" s="9" t="n"/>
      <c r="E9" s="10" t="n"/>
    </row>
    <row r="10">
      <c r="A10" s="12" t="n"/>
      <c r="B10" s="10" t="n"/>
      <c r="C10" s="10" t="n"/>
      <c r="D10" s="9" t="n"/>
      <c r="E10" s="10" t="n"/>
    </row>
    <row r="11">
      <c r="A11" s="12" t="n"/>
      <c r="B11" s="10" t="n"/>
      <c r="C11" s="10" t="n"/>
      <c r="D11" s="9" t="n"/>
      <c r="E11" s="10" t="n"/>
    </row>
    <row r="12">
      <c r="A12" s="12" t="n"/>
      <c r="B12" s="10" t="n"/>
      <c r="C12" s="10" t="n"/>
      <c r="D12" s="9" t="n"/>
      <c r="E12" s="10" t="n"/>
    </row>
    <row r="13">
      <c r="A13" s="12" t="n"/>
      <c r="B13" s="10" t="n"/>
      <c r="C13" s="10" t="n"/>
      <c r="D13" s="9" t="n"/>
      <c r="E13" s="10" t="n"/>
    </row>
    <row r="14">
      <c r="A14" s="12" t="n"/>
      <c r="B14" s="10" t="n"/>
      <c r="C14" s="10" t="n"/>
      <c r="D14" s="9" t="n"/>
      <c r="E14" s="10" t="n"/>
    </row>
    <row r="15">
      <c r="A15" s="12" t="n"/>
      <c r="B15" s="10" t="n"/>
      <c r="C15" s="10" t="n"/>
      <c r="D15" s="9" t="n"/>
      <c r="E15" s="10" t="n"/>
    </row>
    <row r="16">
      <c r="A16" s="12" t="n"/>
      <c r="B16" s="10" t="n"/>
      <c r="C16" s="10" t="n"/>
      <c r="D16" s="9" t="n"/>
      <c r="E16" s="10" t="n"/>
    </row>
    <row r="17">
      <c r="A17" s="12" t="n"/>
      <c r="B17" s="10" t="n"/>
      <c r="C17" s="10" t="n"/>
      <c r="D17" s="9" t="n"/>
      <c r="E17" s="10" t="n"/>
    </row>
    <row r="18">
      <c r="A18" s="12" t="n"/>
      <c r="B18" s="10" t="n"/>
      <c r="C18" s="10" t="n"/>
      <c r="D18" s="9" t="n"/>
      <c r="E18" s="10" t="n"/>
    </row>
    <row r="19">
      <c r="A19" s="12" t="n"/>
      <c r="B19" s="10" t="n"/>
      <c r="C19" s="10" t="n"/>
      <c r="D19" s="9" t="n"/>
      <c r="E19" s="10" t="n"/>
    </row>
    <row r="20">
      <c r="A20" s="12" t="n"/>
      <c r="B20" s="10" t="n"/>
      <c r="C20" s="10" t="n"/>
      <c r="D20" s="9" t="n"/>
      <c r="E20" s="10" t="n"/>
    </row>
    <row r="21">
      <c r="A21" s="12" t="n"/>
      <c r="B21" s="10" t="n"/>
      <c r="C21" s="10" t="n"/>
      <c r="D21" s="9" t="n"/>
      <c r="E21" s="10" t="n"/>
    </row>
    <row r="22">
      <c r="A22" s="12" t="n"/>
      <c r="B22" s="10" t="n"/>
      <c r="C22" s="10" t="n"/>
      <c r="D22" s="9" t="n"/>
      <c r="E22" s="10" t="n"/>
    </row>
    <row r="23">
      <c r="A23" s="12" t="n"/>
      <c r="B23" s="10" t="n"/>
      <c r="C23" s="10" t="n"/>
      <c r="D23" s="9" t="n"/>
      <c r="E23" s="10" t="n"/>
    </row>
    <row r="24">
      <c r="A24" s="12" t="n"/>
      <c r="B24" s="10" t="n"/>
      <c r="C24" s="10" t="n"/>
      <c r="D24" s="9" t="n"/>
      <c r="E24" s="10" t="n"/>
    </row>
    <row r="25">
      <c r="A25" s="12" t="n"/>
      <c r="B25" s="10" t="n"/>
      <c r="C25" s="10" t="n"/>
      <c r="D25" s="9" t="n"/>
      <c r="E25" s="10" t="n"/>
    </row>
    <row r="26">
      <c r="A26" s="12" t="n"/>
      <c r="B26" s="10" t="n"/>
      <c r="C26" s="10" t="n"/>
      <c r="D26" s="9" t="n"/>
      <c r="E26" s="10" t="n"/>
    </row>
    <row r="27">
      <c r="A27" s="12" t="n"/>
      <c r="B27" s="10" t="n"/>
      <c r="C27" s="10" t="n"/>
      <c r="D27" s="9" t="n"/>
      <c r="E27" s="10" t="n"/>
    </row>
    <row r="28">
      <c r="A28" s="12" t="n"/>
      <c r="B28" s="10" t="n"/>
      <c r="C28" s="10" t="n"/>
      <c r="D28" s="9" t="n"/>
      <c r="E28" s="10" t="n"/>
    </row>
    <row r="29">
      <c r="A29" s="12" t="n"/>
      <c r="B29" s="10" t="n"/>
      <c r="C29" s="10" t="n"/>
      <c r="D29" s="9" t="n"/>
      <c r="E29" s="10" t="n"/>
    </row>
    <row r="30">
      <c r="A30" s="12" t="n"/>
      <c r="B30" s="10" t="n"/>
      <c r="C30" s="10" t="n"/>
      <c r="D30" s="9" t="n"/>
      <c r="E30" s="10" t="n"/>
    </row>
    <row r="31">
      <c r="A31" s="12" t="n"/>
      <c r="B31" s="10" t="n"/>
      <c r="C31" s="10" t="n"/>
      <c r="D31" s="9" t="n"/>
      <c r="E31" s="10" t="n"/>
    </row>
    <row r="32">
      <c r="A32" s="12" t="n"/>
      <c r="B32" s="10" t="n"/>
      <c r="C32" s="10" t="n"/>
      <c r="D32" s="9" t="n"/>
      <c r="E32" s="10" t="n"/>
    </row>
    <row r="33">
      <c r="A33" s="12" t="n"/>
      <c r="B33" s="10" t="n"/>
      <c r="C33" s="10" t="n"/>
      <c r="D33" s="9" t="n"/>
      <c r="E33" s="10" t="n"/>
    </row>
    <row r="34">
      <c r="A34" s="12" t="n"/>
      <c r="B34" s="10" t="n"/>
      <c r="C34" s="10" t="n"/>
      <c r="D34" s="9" t="n"/>
      <c r="E34" s="10" t="n"/>
    </row>
    <row r="35">
      <c r="A35" s="12" t="n"/>
      <c r="B35" s="10" t="n"/>
      <c r="C35" s="10" t="n"/>
      <c r="D35" s="9" t="n"/>
      <c r="E35" s="10" t="n"/>
    </row>
    <row r="36">
      <c r="A36" s="12" t="n"/>
      <c r="B36" s="10" t="n"/>
      <c r="C36" s="10" t="n"/>
      <c r="D36" s="9" t="n"/>
      <c r="E36" s="10" t="n"/>
    </row>
    <row r="37">
      <c r="A37" s="12" t="n"/>
      <c r="B37" s="10" t="n"/>
      <c r="C37" s="10" t="n"/>
      <c r="D37" s="9" t="n"/>
      <c r="E37" s="10" t="n"/>
    </row>
    <row r="38">
      <c r="A38" s="12" t="n"/>
      <c r="B38" s="10" t="n"/>
      <c r="C38" s="10" t="n"/>
      <c r="D38" s="9" t="n"/>
      <c r="E38" s="10" t="n"/>
    </row>
    <row r="39">
      <c r="A39" s="12" t="n"/>
      <c r="B39" s="10" t="n"/>
      <c r="C39" s="10" t="n"/>
      <c r="D39" s="9" t="n"/>
      <c r="E39" s="10" t="n"/>
    </row>
    <row r="40">
      <c r="A40" s="12" t="n"/>
      <c r="B40" s="10" t="n"/>
      <c r="C40" s="10" t="n"/>
      <c r="D40" s="9" t="n"/>
      <c r="E40" s="10" t="n"/>
    </row>
    <row r="41">
      <c r="A41" s="12" t="n"/>
      <c r="B41" s="10" t="n"/>
      <c r="C41" s="10" t="n"/>
      <c r="D41" s="9" t="n"/>
      <c r="E41" s="10" t="n"/>
    </row>
    <row r="42">
      <c r="A42" s="12" t="n"/>
      <c r="B42" s="10" t="n"/>
      <c r="C42" s="10" t="n"/>
      <c r="D42" s="9" t="n"/>
      <c r="E42" s="10" t="n"/>
    </row>
    <row r="43">
      <c r="A43" s="12" t="n"/>
      <c r="B43" s="10" t="n"/>
      <c r="C43" s="10" t="n"/>
      <c r="D43" s="9" t="n"/>
      <c r="E43" s="10" t="n"/>
    </row>
    <row r="44">
      <c r="A44" s="12" t="n"/>
      <c r="B44" s="10" t="n"/>
      <c r="C44" s="10" t="n"/>
      <c r="D44" s="9" t="n"/>
      <c r="E44" s="10" t="n"/>
    </row>
    <row r="45">
      <c r="A45" s="12" t="n"/>
      <c r="B45" s="10" t="n"/>
      <c r="C45" s="10" t="n"/>
      <c r="D45" s="9" t="n"/>
      <c r="E45" s="10" t="n"/>
    </row>
    <row r="46">
      <c r="A46" s="12" t="n"/>
      <c r="B46" s="10" t="n"/>
      <c r="C46" s="10" t="n"/>
      <c r="D46" s="9" t="n"/>
      <c r="E46" s="10" t="n"/>
    </row>
    <row r="47">
      <c r="A47" s="12" t="n"/>
      <c r="B47" s="10" t="n"/>
      <c r="C47" s="10" t="n"/>
      <c r="D47" s="9" t="n"/>
      <c r="E47" s="10" t="n"/>
    </row>
    <row r="48">
      <c r="A48" s="12" t="n"/>
      <c r="B48" s="10" t="n"/>
      <c r="C48" s="10" t="n"/>
      <c r="D48" s="9" t="n"/>
      <c r="E48" s="10" t="n"/>
    </row>
    <row r="49">
      <c r="A49" s="12" t="n"/>
      <c r="B49" s="10" t="n"/>
      <c r="C49" s="10" t="n"/>
      <c r="D49" s="9" t="n"/>
      <c r="E49" s="10" t="n"/>
    </row>
    <row r="50">
      <c r="A50" s="12" t="n"/>
      <c r="B50" s="10" t="n"/>
      <c r="C50" s="10" t="n"/>
      <c r="D50" s="9" t="n"/>
      <c r="E50" s="10" t="n"/>
    </row>
    <row r="51">
      <c r="A51" s="12" t="n"/>
      <c r="B51" s="10" t="n"/>
      <c r="C51" s="10" t="n"/>
      <c r="D51" s="9" t="n"/>
      <c r="E51" s="10" t="n"/>
    </row>
    <row r="52">
      <c r="A52" s="12" t="n"/>
      <c r="B52" s="10" t="n"/>
      <c r="C52" s="10" t="n"/>
      <c r="D52" s="9" t="n"/>
      <c r="E52" s="10" t="n"/>
    </row>
    <row r="53">
      <c r="A53" s="12" t="n"/>
      <c r="B53" s="10" t="n"/>
      <c r="C53" s="10" t="n"/>
      <c r="D53" s="9" t="n"/>
      <c r="E53" s="10" t="n"/>
    </row>
    <row r="54">
      <c r="A54" s="12" t="n"/>
      <c r="B54" s="10" t="n"/>
      <c r="C54" s="10" t="n"/>
      <c r="D54" s="9" t="n"/>
      <c r="E54" s="10" t="n"/>
    </row>
    <row r="55">
      <c r="A55" s="12" t="n"/>
      <c r="B55" s="10" t="n"/>
      <c r="C55" s="10" t="n"/>
      <c r="D55" s="9" t="n"/>
      <c r="E55" s="10" t="n"/>
    </row>
    <row r="56">
      <c r="A56" s="12" t="n"/>
      <c r="B56" s="10" t="n"/>
      <c r="C56" s="10" t="n"/>
      <c r="D56" s="9" t="n"/>
      <c r="E56" s="10" t="n"/>
    </row>
    <row r="57">
      <c r="A57" s="12" t="n"/>
      <c r="B57" s="10" t="n"/>
      <c r="C57" s="10" t="n"/>
      <c r="D57" s="9" t="n"/>
      <c r="E57" s="10" t="n"/>
    </row>
    <row r="58">
      <c r="A58" s="12" t="n"/>
      <c r="B58" s="10" t="n"/>
      <c r="C58" s="10" t="n"/>
      <c r="D58" s="9" t="n"/>
      <c r="E58" s="10" t="n"/>
    </row>
    <row r="59">
      <c r="A59" s="12" t="n"/>
      <c r="B59" s="10" t="n"/>
      <c r="C59" s="10" t="n"/>
      <c r="D59" s="9" t="n"/>
      <c r="E59" s="10" t="n"/>
    </row>
    <row r="60">
      <c r="A60" s="12" t="n"/>
      <c r="B60" s="10" t="n"/>
      <c r="C60" s="10" t="n"/>
      <c r="D60" s="9" t="n"/>
      <c r="E60" s="10" t="n"/>
    </row>
    <row r="61">
      <c r="A61" s="12" t="n"/>
      <c r="B61" s="10" t="n"/>
      <c r="C61" s="10" t="n"/>
      <c r="D61" s="9" t="n"/>
      <c r="E61" s="10" t="n"/>
    </row>
    <row r="62">
      <c r="A62" s="12" t="n"/>
      <c r="B62" s="10" t="n"/>
      <c r="C62" s="10" t="n"/>
      <c r="D62" s="9" t="n"/>
      <c r="E62" s="10" t="n"/>
    </row>
    <row r="63">
      <c r="A63" s="12" t="n"/>
      <c r="B63" s="10" t="n"/>
      <c r="C63" s="10" t="n"/>
      <c r="D63" s="9" t="n"/>
      <c r="E63" s="10" t="n"/>
    </row>
    <row r="64">
      <c r="A64" s="12" t="n"/>
      <c r="B64" s="10" t="n"/>
      <c r="C64" s="10" t="n"/>
      <c r="D64" s="9" t="n"/>
      <c r="E64" s="10" t="n"/>
    </row>
    <row r="65">
      <c r="A65" s="12" t="n"/>
      <c r="B65" s="10" t="n"/>
      <c r="C65" s="10" t="n"/>
      <c r="D65" s="9" t="n"/>
      <c r="E65" s="10" t="n"/>
    </row>
    <row r="66">
      <c r="A66" s="12" t="n"/>
      <c r="B66" s="10" t="n"/>
      <c r="C66" s="10" t="n"/>
      <c r="D66" s="9" t="n"/>
      <c r="E66" s="10" t="n"/>
    </row>
    <row r="67">
      <c r="A67" s="12" t="n"/>
      <c r="B67" s="10" t="n"/>
      <c r="C67" s="10" t="n"/>
      <c r="D67" s="9" t="n"/>
      <c r="E67" s="10" t="n"/>
    </row>
    <row r="68">
      <c r="A68" s="12" t="n"/>
      <c r="B68" s="10" t="n"/>
      <c r="C68" s="10" t="n"/>
      <c r="D68" s="9" t="n"/>
      <c r="E68" s="10" t="n"/>
    </row>
    <row r="69">
      <c r="A69" s="12" t="n"/>
      <c r="B69" s="10" t="n"/>
      <c r="C69" s="10" t="n"/>
      <c r="D69" s="9" t="n"/>
      <c r="E69" s="10" t="n"/>
    </row>
    <row r="70">
      <c r="A70" s="12" t="n"/>
      <c r="B70" s="10" t="n"/>
      <c r="C70" s="10" t="n"/>
      <c r="D70" s="9" t="n"/>
      <c r="E70" s="10" t="n"/>
    </row>
    <row r="71">
      <c r="A71" s="12" t="n"/>
      <c r="B71" s="10" t="n"/>
      <c r="C71" s="10" t="n"/>
      <c r="D71" s="9" t="n"/>
      <c r="E71" s="10" t="n"/>
    </row>
    <row r="72">
      <c r="A72" s="12" t="n"/>
      <c r="B72" s="10" t="n"/>
      <c r="C72" s="10" t="n"/>
      <c r="D72" s="9" t="n"/>
      <c r="E72" s="10" t="n"/>
    </row>
    <row r="73">
      <c r="A73" s="12" t="n"/>
      <c r="B73" s="10" t="n"/>
      <c r="C73" s="10" t="n"/>
      <c r="D73" s="9" t="n"/>
      <c r="E73" s="10" t="n"/>
    </row>
    <row r="74">
      <c r="A74" s="12" t="n"/>
      <c r="B74" s="10" t="n"/>
      <c r="C74" s="10" t="n"/>
      <c r="D74" s="9" t="n"/>
      <c r="E74" s="10" t="n"/>
    </row>
    <row r="75">
      <c r="A75" s="12" t="n"/>
      <c r="B75" s="10" t="n"/>
      <c r="C75" s="10" t="n"/>
      <c r="D75" s="9" t="n"/>
      <c r="E75" s="10" t="n"/>
    </row>
    <row r="76">
      <c r="A76" s="12" t="n"/>
      <c r="B76" s="10" t="n"/>
      <c r="C76" s="10" t="n"/>
      <c r="D76" s="9" t="n"/>
      <c r="E76" s="10" t="n"/>
    </row>
    <row r="77">
      <c r="A77" s="12" t="n"/>
      <c r="B77" s="10" t="n"/>
      <c r="C77" s="10" t="n"/>
      <c r="D77" s="9" t="n"/>
      <c r="E77" s="10" t="n"/>
    </row>
    <row r="78">
      <c r="A78" s="12" t="n"/>
      <c r="B78" s="10" t="n"/>
      <c r="C78" s="10" t="n"/>
      <c r="D78" s="9" t="n"/>
      <c r="E78" s="10" t="n"/>
    </row>
    <row r="79">
      <c r="A79" s="12" t="n"/>
      <c r="B79" s="10" t="n"/>
      <c r="C79" s="10" t="n"/>
      <c r="D79" s="9" t="n"/>
      <c r="E79" s="10" t="n"/>
    </row>
    <row r="80">
      <c r="A80" s="12" t="n"/>
      <c r="B80" s="10" t="n"/>
      <c r="C80" s="10" t="n"/>
      <c r="D80" s="9" t="n"/>
      <c r="E80" s="10" t="n"/>
    </row>
    <row r="81">
      <c r="A81" s="12" t="n"/>
      <c r="B81" s="10" t="n"/>
      <c r="C81" s="10" t="n"/>
      <c r="D81" s="9" t="n"/>
      <c r="E81" s="10" t="n"/>
    </row>
    <row r="82">
      <c r="A82" s="12" t="n"/>
      <c r="B82" s="10" t="n"/>
      <c r="C82" s="10" t="n"/>
      <c r="D82" s="9" t="n"/>
      <c r="E82" s="10" t="n"/>
    </row>
    <row r="83">
      <c r="A83" s="12" t="n"/>
      <c r="B83" s="10" t="n"/>
      <c r="C83" s="10" t="n"/>
      <c r="D83" s="9" t="n"/>
      <c r="E83" s="10" t="n"/>
    </row>
    <row r="84">
      <c r="A84" s="12" t="n"/>
      <c r="B84" s="10" t="n"/>
      <c r="C84" s="10" t="n"/>
      <c r="D84" s="9" t="n"/>
      <c r="E84" s="10" t="n"/>
    </row>
    <row r="85">
      <c r="A85" s="12" t="n"/>
      <c r="B85" s="10" t="n"/>
      <c r="C85" s="10" t="n"/>
      <c r="D85" s="9" t="n"/>
      <c r="E85" s="10" t="n"/>
    </row>
    <row r="86">
      <c r="A86" s="12" t="n"/>
      <c r="B86" s="10" t="n"/>
      <c r="C86" s="10" t="n"/>
      <c r="D86" s="9" t="n"/>
      <c r="E86" s="10" t="n"/>
    </row>
    <row r="87">
      <c r="A87" s="12" t="n"/>
      <c r="B87" s="10" t="n"/>
      <c r="C87" s="10" t="n"/>
      <c r="D87" s="9" t="n"/>
      <c r="E87" s="10" t="n"/>
    </row>
    <row r="88">
      <c r="A88" s="12" t="n"/>
      <c r="B88" s="10" t="n"/>
      <c r="C88" s="10" t="n"/>
      <c r="D88" s="9" t="n"/>
      <c r="E88" s="10" t="n"/>
    </row>
    <row r="89">
      <c r="A89" s="12" t="n"/>
      <c r="B89" s="10" t="n"/>
      <c r="C89" s="10" t="n"/>
      <c r="D89" s="9" t="n"/>
      <c r="E89" s="10" t="n"/>
    </row>
    <row r="90">
      <c r="A90" s="12" t="n"/>
      <c r="B90" s="10" t="n"/>
      <c r="C90" s="10" t="n"/>
      <c r="D90" s="9" t="n"/>
      <c r="E90" s="10" t="n"/>
    </row>
    <row r="91">
      <c r="A91" s="12" t="n"/>
      <c r="B91" s="10" t="n"/>
      <c r="C91" s="10" t="n"/>
      <c r="D91" s="9" t="n"/>
      <c r="E91" s="10" t="n"/>
    </row>
    <row r="92">
      <c r="A92" s="12" t="n"/>
      <c r="B92" s="10" t="n"/>
      <c r="C92" s="10" t="n"/>
      <c r="D92" s="9" t="n"/>
      <c r="E92" s="10" t="n"/>
    </row>
    <row r="93">
      <c r="A93" s="12" t="n"/>
      <c r="B93" s="10" t="n"/>
      <c r="C93" s="10" t="n"/>
      <c r="D93" s="9" t="n"/>
      <c r="E93" s="10" t="n"/>
    </row>
    <row r="94">
      <c r="A94" s="12" t="n"/>
      <c r="B94" s="10" t="n"/>
      <c r="C94" s="10" t="n"/>
      <c r="D94" s="9" t="n"/>
      <c r="E94" s="10" t="n"/>
    </row>
    <row r="95">
      <c r="A95" s="12" t="n"/>
      <c r="B95" s="10" t="n"/>
      <c r="C95" s="10" t="n"/>
      <c r="D95" s="9" t="n"/>
      <c r="E95" s="10" t="n"/>
    </row>
    <row r="96">
      <c r="A96" s="12" t="n"/>
      <c r="B96" s="10" t="n"/>
      <c r="C96" s="10" t="n"/>
      <c r="D96" s="9" t="n"/>
      <c r="E96" s="10" t="n"/>
    </row>
    <row r="97">
      <c r="A97" s="12" t="n"/>
      <c r="B97" s="10" t="n"/>
      <c r="C97" s="10" t="n"/>
      <c r="D97" s="9" t="n"/>
      <c r="E97" s="10" t="n"/>
    </row>
    <row r="98">
      <c r="A98" s="12" t="n"/>
      <c r="B98" s="10" t="n"/>
      <c r="C98" s="10" t="n"/>
      <c r="D98" s="9" t="n"/>
      <c r="E98" s="10" t="n"/>
    </row>
    <row r="99">
      <c r="A99" s="12" t="n"/>
      <c r="B99" s="10" t="n"/>
      <c r="C99" s="10" t="n"/>
      <c r="D99" s="9" t="n"/>
      <c r="E99" s="10" t="n"/>
    </row>
    <row r="100">
      <c r="A100" s="12" t="n"/>
      <c r="B100" s="10" t="n"/>
      <c r="C100" s="10" t="n"/>
      <c r="D100" s="9" t="n"/>
      <c r="E100" s="10" t="n"/>
    </row>
    <row r="101">
      <c r="A101" s="12" t="n"/>
      <c r="B101" s="10" t="n"/>
      <c r="C101" s="10" t="n"/>
      <c r="D101" s="9" t="n"/>
      <c r="E101" s="10" t="n"/>
    </row>
    <row r="102">
      <c r="A102" s="12" t="n"/>
      <c r="B102" s="10" t="n"/>
      <c r="C102" s="10" t="n"/>
      <c r="D102" s="9" t="n"/>
      <c r="E102" s="10" t="n"/>
    </row>
    <row r="103">
      <c r="A103" s="12" t="n"/>
      <c r="B103" s="10" t="n"/>
      <c r="C103" s="10" t="n"/>
      <c r="D103" s="9" t="n"/>
      <c r="E103" s="10" t="n"/>
    </row>
    <row r="104">
      <c r="A104" s="12" t="n"/>
      <c r="B104" s="10" t="n"/>
      <c r="C104" s="10" t="n"/>
      <c r="D104" s="9" t="n"/>
      <c r="E104" s="10" t="n"/>
    </row>
    <row r="105">
      <c r="A105" s="12" t="n"/>
      <c r="B105" s="10" t="n"/>
      <c r="C105" s="10" t="n"/>
      <c r="D105" s="9" t="n"/>
      <c r="E105" s="10" t="n"/>
    </row>
    <row r="106">
      <c r="A106" s="12" t="n"/>
      <c r="B106" s="10" t="n"/>
      <c r="C106" s="10" t="n"/>
      <c r="D106" s="9" t="n"/>
      <c r="E106" s="10" t="n"/>
    </row>
    <row r="107">
      <c r="A107" s="12" t="n"/>
      <c r="B107" s="10" t="n"/>
      <c r="C107" s="10" t="n"/>
      <c r="D107" s="9" t="n"/>
      <c r="E107" s="10" t="n"/>
    </row>
    <row r="108">
      <c r="A108" s="12" t="n"/>
      <c r="B108" s="10" t="n"/>
      <c r="C108" s="10" t="n"/>
      <c r="D108" s="9" t="n"/>
      <c r="E108" s="10" t="n"/>
    </row>
    <row r="109">
      <c r="A109" s="12" t="n"/>
      <c r="B109" s="10" t="n"/>
      <c r="C109" s="10" t="n"/>
      <c r="D109" s="9" t="n"/>
      <c r="E109" s="10" t="n"/>
    </row>
    <row r="110">
      <c r="A110" s="12" t="n"/>
      <c r="B110" s="10" t="n"/>
      <c r="C110" s="10" t="n"/>
      <c r="D110" s="9" t="n"/>
      <c r="E110" s="10" t="n"/>
    </row>
    <row r="111">
      <c r="A111" s="12" t="n"/>
      <c r="B111" s="10" t="n"/>
      <c r="C111" s="10" t="n"/>
      <c r="D111" s="9" t="n"/>
      <c r="E111" s="10" t="n"/>
    </row>
    <row r="112">
      <c r="A112" s="12" t="n"/>
      <c r="B112" s="10" t="n"/>
      <c r="C112" s="10" t="n"/>
      <c r="D112" s="9" t="n"/>
      <c r="E112" s="10" t="n"/>
    </row>
    <row r="113">
      <c r="A113" s="12" t="n"/>
      <c r="B113" s="10" t="n"/>
      <c r="C113" s="10" t="n"/>
      <c r="D113" s="9" t="n"/>
      <c r="E113" s="10" t="n"/>
    </row>
    <row r="114">
      <c r="A114" s="12" t="n"/>
      <c r="B114" s="10" t="n"/>
      <c r="C114" s="10" t="n"/>
      <c r="D114" s="9" t="n"/>
      <c r="E114" s="10" t="n"/>
    </row>
    <row r="115">
      <c r="A115" s="12" t="n"/>
      <c r="B115" s="10" t="n"/>
      <c r="C115" s="10" t="n"/>
      <c r="D115" s="9" t="n"/>
      <c r="E115" s="10" t="n"/>
    </row>
    <row r="116">
      <c r="A116" s="12" t="n"/>
      <c r="B116" s="10" t="n"/>
      <c r="C116" s="10" t="n"/>
      <c r="D116" s="9" t="n"/>
      <c r="E116" s="10" t="n"/>
    </row>
    <row r="117">
      <c r="A117" s="12" t="n"/>
      <c r="B117" s="10" t="n"/>
      <c r="C117" s="10" t="n"/>
      <c r="D117" s="9" t="n"/>
      <c r="E117" s="10" t="n"/>
    </row>
    <row r="118">
      <c r="A118" s="12" t="n"/>
      <c r="B118" s="10" t="n"/>
      <c r="C118" s="10" t="n"/>
      <c r="D118" s="9" t="n"/>
      <c r="E118" s="10" t="n"/>
    </row>
    <row r="119">
      <c r="A119" s="12" t="n"/>
      <c r="B119" s="10" t="n"/>
      <c r="C119" s="10" t="n"/>
      <c r="D119" s="9" t="n"/>
      <c r="E119" s="10" t="n"/>
    </row>
    <row r="120">
      <c r="A120" s="12" t="n"/>
      <c r="B120" s="10" t="n"/>
      <c r="C120" s="10" t="n"/>
      <c r="D120" s="9" t="n"/>
      <c r="E120" s="10" t="n"/>
    </row>
    <row r="121">
      <c r="A121" s="12" t="n"/>
      <c r="B121" s="10" t="n"/>
      <c r="C121" s="10" t="n"/>
      <c r="D121" s="9" t="n"/>
      <c r="E121" s="10" t="n"/>
    </row>
    <row r="122">
      <c r="A122" s="12" t="n"/>
      <c r="B122" s="10" t="n"/>
      <c r="C122" s="10" t="n"/>
      <c r="D122" s="9" t="n"/>
      <c r="E122" s="10" t="n"/>
    </row>
    <row r="123">
      <c r="A123" s="12" t="n"/>
      <c r="B123" s="10" t="n"/>
      <c r="C123" s="10" t="n"/>
      <c r="D123" s="9" t="n"/>
      <c r="E123" s="10" t="n"/>
    </row>
    <row r="124">
      <c r="A124" s="12" t="n"/>
      <c r="B124" s="10" t="n"/>
      <c r="C124" s="10" t="n"/>
      <c r="D124" s="9" t="n"/>
      <c r="E124" s="10" t="n"/>
    </row>
    <row r="125">
      <c r="A125" s="12" t="n"/>
      <c r="B125" s="10" t="n"/>
      <c r="C125" s="10" t="n"/>
      <c r="D125" s="9" t="n"/>
      <c r="E125" s="10" t="n"/>
    </row>
    <row r="126">
      <c r="A126" s="12" t="n"/>
      <c r="B126" s="10" t="n"/>
      <c r="C126" s="10" t="n"/>
      <c r="D126" s="9" t="n"/>
      <c r="E126" s="10" t="n"/>
    </row>
    <row r="127">
      <c r="A127" s="12" t="n"/>
      <c r="B127" s="10" t="n"/>
      <c r="C127" s="10" t="n"/>
      <c r="D127" s="9" t="n"/>
      <c r="E127" s="10" t="n"/>
    </row>
    <row r="128">
      <c r="A128" s="12" t="n"/>
      <c r="B128" s="10" t="n"/>
      <c r="C128" s="10" t="n"/>
      <c r="D128" s="9" t="n"/>
      <c r="E128" s="10" t="n"/>
    </row>
    <row r="129">
      <c r="A129" s="12" t="n"/>
      <c r="B129" s="10" t="n"/>
      <c r="C129" s="10" t="n"/>
      <c r="D129" s="9" t="n"/>
      <c r="E129" s="10" t="n"/>
    </row>
    <row r="130">
      <c r="A130" s="12" t="n"/>
      <c r="B130" s="10" t="n"/>
      <c r="C130" s="10" t="n"/>
      <c r="D130" s="9" t="n"/>
      <c r="E130" s="10" t="n"/>
    </row>
    <row r="131">
      <c r="A131" s="12" t="n"/>
      <c r="B131" s="10" t="n"/>
      <c r="C131" s="10" t="n"/>
      <c r="D131" s="9" t="n"/>
      <c r="E131" s="10" t="n"/>
    </row>
    <row r="132">
      <c r="A132" s="12" t="n"/>
      <c r="B132" s="10" t="n"/>
      <c r="C132" s="10" t="n"/>
      <c r="D132" s="9" t="n"/>
      <c r="E132" s="10" t="n"/>
    </row>
    <row r="133">
      <c r="A133" s="12" t="n"/>
      <c r="B133" s="10" t="n"/>
      <c r="C133" s="10" t="n"/>
      <c r="D133" s="9" t="n"/>
      <c r="E133" s="10" t="n"/>
    </row>
    <row r="134">
      <c r="A134" s="12" t="n"/>
      <c r="B134" s="10" t="n"/>
      <c r="C134" s="10" t="n"/>
      <c r="D134" s="9" t="n"/>
      <c r="E134" s="10" t="n"/>
    </row>
    <row r="135">
      <c r="A135" s="12" t="n"/>
      <c r="B135" s="10" t="n"/>
      <c r="C135" s="10" t="n"/>
      <c r="D135" s="9" t="n"/>
      <c r="E135" s="10" t="n"/>
    </row>
    <row r="136">
      <c r="A136" s="12" t="n"/>
      <c r="B136" s="10" t="n"/>
      <c r="C136" s="10" t="n"/>
      <c r="D136" s="9" t="n"/>
      <c r="E136" s="10" t="n"/>
    </row>
    <row r="137">
      <c r="A137" s="12" t="n"/>
      <c r="B137" s="10" t="n"/>
      <c r="C137" s="10" t="n"/>
      <c r="D137" s="9" t="n"/>
      <c r="E137" s="10" t="n"/>
    </row>
    <row r="138">
      <c r="A138" s="12" t="n"/>
      <c r="B138" s="10" t="n"/>
      <c r="C138" s="10" t="n"/>
      <c r="D138" s="9" t="n"/>
      <c r="E138" s="10" t="n"/>
    </row>
    <row r="139">
      <c r="A139" s="12" t="n"/>
      <c r="B139" s="10" t="n"/>
      <c r="C139" s="10" t="n"/>
      <c r="D139" s="9" t="n"/>
      <c r="E139" s="10" t="n"/>
    </row>
    <row r="140">
      <c r="A140" s="12" t="n"/>
      <c r="B140" s="10" t="n"/>
      <c r="C140" s="10" t="n"/>
      <c r="D140" s="9" t="n"/>
      <c r="E140" s="10" t="n"/>
    </row>
    <row r="141">
      <c r="A141" s="12" t="n"/>
      <c r="B141" s="10" t="n"/>
      <c r="C141" s="10" t="n"/>
      <c r="D141" s="9" t="n"/>
      <c r="E141" s="10" t="n"/>
    </row>
    <row r="142">
      <c r="A142" s="12" t="n"/>
      <c r="B142" s="10" t="n"/>
      <c r="C142" s="10" t="n"/>
      <c r="D142" s="9" t="n"/>
      <c r="E142" s="10" t="n"/>
    </row>
    <row r="143">
      <c r="A143" s="12" t="n"/>
      <c r="B143" s="10" t="n"/>
      <c r="C143" s="10" t="n"/>
      <c r="D143" s="9" t="n"/>
      <c r="E143" s="10" t="n"/>
    </row>
    <row r="144">
      <c r="A144" s="12" t="n"/>
      <c r="B144" s="10" t="n"/>
      <c r="C144" s="10" t="n"/>
      <c r="D144" s="9" t="n"/>
      <c r="E144" s="10" t="n"/>
    </row>
    <row r="145">
      <c r="A145" s="12" t="n"/>
      <c r="B145" s="10" t="n"/>
      <c r="C145" s="10" t="n"/>
      <c r="D145" s="9" t="n"/>
      <c r="E145" s="10" t="n"/>
    </row>
    <row r="146">
      <c r="A146" s="12" t="n"/>
      <c r="B146" s="10" t="n"/>
      <c r="C146" s="10" t="n"/>
      <c r="D146" s="9" t="n"/>
      <c r="E146" s="10" t="n"/>
    </row>
    <row r="147">
      <c r="A147" s="12" t="n"/>
      <c r="B147" s="10" t="n"/>
      <c r="C147" s="10" t="n"/>
      <c r="D147" s="9" t="n"/>
      <c r="E147" s="10" t="n"/>
    </row>
    <row r="148">
      <c r="A148" s="12" t="n"/>
      <c r="B148" s="10" t="n"/>
      <c r="C148" s="10" t="n"/>
      <c r="D148" s="9" t="n"/>
      <c r="E148" s="10" t="n"/>
    </row>
    <row r="149">
      <c r="A149" s="12" t="n"/>
      <c r="B149" s="10" t="n"/>
      <c r="C149" s="10" t="n"/>
      <c r="D149" s="9" t="n"/>
      <c r="E149" s="10" t="n"/>
    </row>
    <row r="150">
      <c r="A150" s="12" t="n"/>
      <c r="B150" s="10" t="n"/>
      <c r="C150" s="10" t="n"/>
      <c r="D150" s="9" t="n"/>
      <c r="E150" s="10" t="n"/>
    </row>
    <row r="151">
      <c r="A151" s="12" t="n"/>
      <c r="B151" s="10" t="n"/>
      <c r="C151" s="10" t="n"/>
      <c r="D151" s="9" t="n"/>
      <c r="E151" s="10" t="n"/>
    </row>
    <row r="152">
      <c r="A152" s="12" t="n"/>
      <c r="B152" s="10" t="n"/>
      <c r="C152" s="10" t="n"/>
      <c r="D152" s="9" t="n"/>
      <c r="E152" s="10" t="n"/>
    </row>
    <row r="153">
      <c r="A153" s="12" t="n"/>
      <c r="B153" s="10" t="n"/>
      <c r="C153" s="10" t="n"/>
      <c r="D153" s="9" t="n"/>
      <c r="E153" s="10" t="n"/>
    </row>
    <row r="154">
      <c r="A154" s="12" t="n"/>
      <c r="B154" s="10" t="n"/>
      <c r="C154" s="10" t="n"/>
      <c r="D154" s="9" t="n"/>
      <c r="E154" s="10" t="n"/>
    </row>
    <row r="155">
      <c r="A155" s="12" t="n"/>
      <c r="B155" s="10" t="n"/>
      <c r="C155" s="10" t="n"/>
      <c r="D155" s="9" t="n"/>
      <c r="E155" s="10" t="n"/>
    </row>
    <row r="156">
      <c r="A156" s="12" t="n"/>
      <c r="B156" s="10" t="n"/>
      <c r="C156" s="10" t="n"/>
      <c r="D156" s="9" t="n"/>
      <c r="E156" s="10" t="n"/>
    </row>
    <row r="157">
      <c r="A157" s="12" t="n"/>
      <c r="B157" s="10" t="n"/>
      <c r="C157" s="10" t="n"/>
      <c r="D157" s="9" t="n"/>
      <c r="E157" s="10" t="n"/>
    </row>
    <row r="158">
      <c r="A158" s="12" t="n"/>
      <c r="B158" s="10" t="n"/>
      <c r="C158" s="10" t="n"/>
      <c r="D158" s="9" t="n"/>
      <c r="E158" s="10" t="n"/>
    </row>
    <row r="159">
      <c r="A159" s="12" t="n"/>
      <c r="B159" s="10" t="n"/>
      <c r="C159" s="10" t="n"/>
      <c r="D159" s="9" t="n"/>
      <c r="E159" s="10" t="n"/>
    </row>
    <row r="160">
      <c r="A160" s="12" t="n"/>
      <c r="B160" s="10" t="n"/>
      <c r="C160" s="10" t="n"/>
      <c r="D160" s="9" t="n"/>
      <c r="E160" s="10" t="n"/>
    </row>
    <row r="161">
      <c r="A161" s="12" t="n"/>
      <c r="B161" s="10" t="n"/>
      <c r="C161" s="10" t="n"/>
      <c r="D161" s="9" t="n"/>
      <c r="E161" s="10" t="n"/>
    </row>
    <row r="162">
      <c r="A162" s="12" t="n"/>
      <c r="B162" s="10" t="n"/>
      <c r="C162" s="10" t="n"/>
      <c r="D162" s="9" t="n"/>
      <c r="E162" s="10" t="n"/>
    </row>
    <row r="163">
      <c r="A163" s="12" t="n"/>
      <c r="B163" s="10" t="n"/>
      <c r="C163" s="10" t="n"/>
      <c r="D163" s="9" t="n"/>
      <c r="E163" s="10" t="n"/>
    </row>
    <row r="164">
      <c r="A164" s="12" t="n"/>
      <c r="B164" s="10" t="n"/>
      <c r="C164" s="10" t="n"/>
      <c r="D164" s="9" t="n"/>
      <c r="E164" s="10" t="n"/>
    </row>
    <row r="165">
      <c r="A165" s="12" t="n"/>
      <c r="B165" s="10" t="n"/>
      <c r="C165" s="10" t="n"/>
      <c r="D165" s="9" t="n"/>
      <c r="E165" s="10" t="n"/>
    </row>
    <row r="166">
      <c r="A166" s="12" t="n"/>
      <c r="B166" s="10" t="n"/>
      <c r="C166" s="10" t="n"/>
      <c r="D166" s="9" t="n"/>
      <c r="E166" s="10" t="n"/>
    </row>
    <row r="167">
      <c r="A167" s="12" t="n"/>
      <c r="B167" s="10" t="n"/>
      <c r="C167" s="10" t="n"/>
      <c r="D167" s="9" t="n"/>
      <c r="E167" s="10" t="n"/>
    </row>
    <row r="168">
      <c r="A168" s="12" t="n"/>
      <c r="B168" s="10" t="n"/>
      <c r="C168" s="10" t="n"/>
      <c r="D168" s="9" t="n"/>
      <c r="E168" s="10" t="n"/>
    </row>
    <row r="169">
      <c r="A169" s="12" t="n"/>
      <c r="B169" s="10" t="n"/>
      <c r="C169" s="10" t="n"/>
      <c r="D169" s="9" t="n"/>
      <c r="E169" s="10" t="n"/>
    </row>
    <row r="170">
      <c r="A170" s="12" t="n"/>
      <c r="B170" s="10" t="n"/>
      <c r="C170" s="10" t="n"/>
      <c r="D170" s="9" t="n"/>
      <c r="E170" s="10" t="n"/>
    </row>
    <row r="171">
      <c r="A171" s="12" t="n"/>
      <c r="B171" s="10" t="n"/>
      <c r="C171" s="10" t="n"/>
      <c r="D171" s="9" t="n"/>
      <c r="E171" s="10" t="n"/>
    </row>
    <row r="172">
      <c r="A172" s="12" t="n"/>
      <c r="B172" s="10" t="n"/>
      <c r="C172" s="10" t="n"/>
      <c r="D172" s="9" t="n"/>
      <c r="E172" s="10" t="n"/>
    </row>
    <row r="173">
      <c r="A173" s="12" t="n"/>
      <c r="B173" s="10" t="n"/>
      <c r="C173" s="10" t="n"/>
      <c r="D173" s="9" t="n"/>
      <c r="E173" s="10" t="n"/>
    </row>
    <row r="174">
      <c r="A174" s="12" t="n"/>
      <c r="B174" s="10" t="n"/>
      <c r="C174" s="10" t="n"/>
      <c r="D174" s="9" t="n"/>
      <c r="E174" s="10" t="n"/>
    </row>
    <row r="175">
      <c r="A175" s="12" t="n"/>
      <c r="B175" s="10" t="n"/>
      <c r="C175" s="10" t="n"/>
      <c r="D175" s="9" t="n"/>
      <c r="E175" s="10" t="n"/>
    </row>
    <row r="176">
      <c r="A176" s="12" t="n"/>
      <c r="B176" s="10" t="n"/>
      <c r="C176" s="10" t="n"/>
      <c r="D176" s="9" t="n"/>
      <c r="E176" s="10" t="n"/>
    </row>
    <row r="177">
      <c r="A177" s="12" t="n"/>
      <c r="B177" s="10" t="n"/>
      <c r="C177" s="10" t="n"/>
      <c r="D177" s="9" t="n"/>
      <c r="E177" s="10" t="n"/>
    </row>
    <row r="178">
      <c r="A178" s="12" t="n"/>
      <c r="B178" s="10" t="n"/>
      <c r="C178" s="10" t="n"/>
      <c r="D178" s="9" t="n"/>
      <c r="E178" s="10" t="n"/>
    </row>
    <row r="179">
      <c r="A179" s="12" t="n"/>
      <c r="B179" s="10" t="n"/>
      <c r="C179" s="10" t="n"/>
      <c r="D179" s="9" t="n"/>
      <c r="E179" s="10" t="n"/>
    </row>
    <row r="180">
      <c r="A180" s="12" t="n"/>
      <c r="B180" s="10" t="n"/>
      <c r="C180" s="10" t="n"/>
      <c r="D180" s="9" t="n"/>
      <c r="E180" s="10" t="n"/>
    </row>
    <row r="181">
      <c r="A181" s="12" t="n"/>
      <c r="B181" s="10" t="n"/>
      <c r="C181" s="10" t="n"/>
      <c r="D181" s="9" t="n"/>
      <c r="E181" s="10" t="n"/>
    </row>
    <row r="182">
      <c r="A182" s="12" t="n"/>
      <c r="B182" s="10" t="n"/>
      <c r="C182" s="10" t="n"/>
      <c r="D182" s="9" t="n"/>
      <c r="E182" s="10" t="n"/>
    </row>
    <row r="183">
      <c r="A183" s="12" t="n"/>
      <c r="B183" s="10" t="n"/>
      <c r="C183" s="10" t="n"/>
      <c r="D183" s="9" t="n"/>
      <c r="E183" s="10" t="n"/>
    </row>
    <row r="184">
      <c r="A184" s="12" t="n"/>
      <c r="B184" s="10" t="n"/>
      <c r="C184" s="10" t="n"/>
      <c r="D184" s="9" t="n"/>
      <c r="E184" s="10" t="n"/>
    </row>
    <row r="185">
      <c r="A185" s="12" t="n"/>
      <c r="B185" s="10" t="n"/>
      <c r="C185" s="10" t="n"/>
      <c r="D185" s="9" t="n"/>
      <c r="E185" s="10" t="n"/>
    </row>
    <row r="186">
      <c r="A186" s="12" t="n"/>
      <c r="B186" s="10" t="n"/>
      <c r="C186" s="10" t="n"/>
      <c r="D186" s="9" t="n"/>
      <c r="E186" s="10" t="n"/>
    </row>
    <row r="187">
      <c r="A187" s="12" t="n"/>
      <c r="B187" s="10" t="n"/>
      <c r="C187" s="10" t="n"/>
      <c r="D187" s="9" t="n"/>
      <c r="E187" s="10" t="n"/>
    </row>
    <row r="188">
      <c r="A188" s="12" t="n"/>
      <c r="B188" s="10" t="n"/>
      <c r="C188" s="10" t="n"/>
      <c r="D188" s="9" t="n"/>
      <c r="E188" s="10" t="n"/>
    </row>
    <row r="189">
      <c r="A189" s="12" t="n"/>
      <c r="B189" s="10" t="n"/>
      <c r="C189" s="10" t="n"/>
      <c r="D189" s="9" t="n"/>
      <c r="E189" s="10" t="n"/>
    </row>
    <row r="190">
      <c r="A190" s="12" t="n"/>
      <c r="B190" s="10" t="n"/>
      <c r="C190" s="10" t="n"/>
      <c r="D190" s="9" t="n"/>
      <c r="E190" s="10" t="n"/>
    </row>
    <row r="191">
      <c r="A191" s="12" t="n"/>
      <c r="B191" s="10" t="n"/>
      <c r="C191" s="10" t="n"/>
      <c r="D191" s="9" t="n"/>
      <c r="E191" s="10" t="n"/>
    </row>
    <row r="192">
      <c r="A192" s="12" t="n"/>
      <c r="B192" s="10" t="n"/>
      <c r="C192" s="10" t="n"/>
      <c r="D192" s="9" t="n"/>
      <c r="E192" s="10" t="n"/>
    </row>
    <row r="193">
      <c r="A193" s="12" t="n"/>
      <c r="B193" s="10" t="n"/>
      <c r="C193" s="10" t="n"/>
      <c r="D193" s="9" t="n"/>
      <c r="E193" s="10" t="n"/>
    </row>
    <row r="194">
      <c r="A194" s="12" t="n"/>
      <c r="B194" s="10" t="n"/>
      <c r="C194" s="10" t="n"/>
      <c r="D194" s="9" t="n"/>
      <c r="E194" s="10" t="n"/>
    </row>
    <row r="195">
      <c r="A195" s="12" t="n"/>
      <c r="B195" s="10" t="n"/>
      <c r="C195" s="10" t="n"/>
      <c r="D195" s="9" t="n"/>
      <c r="E195" s="10" t="n"/>
    </row>
    <row r="196">
      <c r="A196" s="12" t="n"/>
      <c r="B196" s="10" t="n"/>
      <c r="C196" s="10" t="n"/>
      <c r="D196" s="9" t="n"/>
      <c r="E196" s="10" t="n"/>
    </row>
    <row r="197">
      <c r="A197" s="12" t="n"/>
      <c r="B197" s="10" t="n"/>
      <c r="C197" s="10" t="n"/>
      <c r="D197" s="9" t="n"/>
      <c r="E197" s="10" t="n"/>
    </row>
    <row r="198">
      <c r="A198" s="12" t="n"/>
      <c r="B198" s="10" t="n"/>
      <c r="C198" s="10" t="n"/>
      <c r="D198" s="9" t="n"/>
      <c r="E198" s="10" t="n"/>
    </row>
    <row r="199">
      <c r="A199" s="12" t="n"/>
      <c r="B199" s="10" t="n"/>
      <c r="C199" s="10" t="n"/>
      <c r="D199" s="9" t="n"/>
      <c r="E199" s="10" t="n"/>
    </row>
    <row r="200">
      <c r="A200" s="12" t="n"/>
      <c r="B200" s="10" t="n"/>
      <c r="C200" s="10" t="n"/>
      <c r="D200" s="9" t="n"/>
      <c r="E200" s="10" t="n"/>
    </row>
    <row r="201">
      <c r="A201" s="12" t="n"/>
      <c r="B201" s="10" t="n"/>
      <c r="C201" s="10" t="n"/>
      <c r="D201" s="9" t="n"/>
      <c r="E201" s="10" t="n"/>
    </row>
    <row r="202">
      <c r="A202" s="12" t="n"/>
      <c r="B202" s="10" t="n"/>
      <c r="C202" s="10" t="n"/>
      <c r="D202" s="9" t="n"/>
      <c r="E202" s="10" t="n"/>
    </row>
    <row r="203">
      <c r="A203" s="12" t="n"/>
      <c r="B203" s="10" t="n"/>
      <c r="C203" s="10" t="n"/>
      <c r="D203" s="9" t="n"/>
      <c r="E203" s="10" t="n"/>
    </row>
    <row r="204">
      <c r="A204" s="12" t="n"/>
      <c r="B204" s="10" t="n"/>
      <c r="C204" s="10" t="n"/>
      <c r="D204" s="9" t="n"/>
      <c r="E204" s="10" t="n"/>
    </row>
  </sheetData>
  <mergeCells count="2">
    <mergeCell ref="A2:E2"/>
    <mergeCell ref="A1:E1"/>
  </mergeCells>
  <dataValidations count="2">
    <dataValidation sqref="B5:B204" showDropDown="0" showInputMessage="0" showErrorMessage="0" allowBlank="1" type="list">
      <formula1>=Settings!$G$4:$G$13</formula1>
    </dataValidation>
    <dataValidation sqref="E5:E20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4" customWidth="1" min="4" max="4"/>
    <col width="14" customWidth="1" min="5" max="5"/>
  </cols>
  <sheetData>
    <row r="1" ht="38" customHeight="1">
      <c r="A1" s="1" t="inlineStr">
        <is>
          <t>📄  Invoice</t>
        </is>
      </c>
    </row>
    <row r="2" ht="22" customHeight="1">
      <c r="A2" s="2" t="inlineStr">
        <is>
          <t>Fill the yellow cells, print to PDF, send.</t>
        </is>
      </c>
    </row>
    <row r="4">
      <c r="A4" s="3" t="inlineStr">
        <is>
          <t>From</t>
        </is>
      </c>
      <c r="D4" s="3" t="inlineStr">
        <is>
          <t>Invoice #</t>
        </is>
      </c>
      <c r="E4" s="14" t="inlineStr">
        <is>
          <t>INV-0001</t>
        </is>
      </c>
    </row>
    <row r="5">
      <c r="A5">
        <f>Settings!B6</f>
        <v/>
      </c>
      <c r="D5" s="3" t="inlineStr">
        <is>
          <t>Date</t>
        </is>
      </c>
      <c r="E5" s="14" t="inlineStr">
        <is>
          <t>2026-01-31</t>
        </is>
      </c>
    </row>
    <row r="6">
      <c r="A6">
        <f>Settings!B7</f>
        <v/>
      </c>
    </row>
    <row r="8">
      <c r="A8" s="3" t="inlineStr">
        <is>
          <t>Bill to</t>
        </is>
      </c>
      <c r="B8" s="14" t="inlineStr">
        <is>
          <t>Client / Company</t>
        </is>
      </c>
    </row>
    <row r="10">
      <c r="A10" s="7" t="inlineStr">
        <is>
          <t>Description</t>
        </is>
      </c>
      <c r="B10" s="7" t="inlineStr">
        <is>
          <t>Qty</t>
        </is>
      </c>
      <c r="C10" s="7" t="inlineStr">
        <is>
          <t>Rate</t>
        </is>
      </c>
      <c r="D10" s="7" t="inlineStr"/>
      <c r="E10" s="7" t="inlineStr">
        <is>
          <t>Amount</t>
        </is>
      </c>
    </row>
    <row r="11">
      <c r="A11" s="11" t="inlineStr">
        <is>
          <t>Loan signing — Refi</t>
        </is>
      </c>
      <c r="B11" s="11" t="n">
        <v>1</v>
      </c>
      <c r="C11" s="15" t="n">
        <v>150</v>
      </c>
      <c r="D11" s="11" t="n"/>
      <c r="E11" s="15">
        <f>IF(C11="","",B11*C11)</f>
        <v/>
      </c>
    </row>
    <row r="12">
      <c r="A12" s="11" t="n"/>
      <c r="B12" s="11" t="n">
        <v>1</v>
      </c>
      <c r="C12" s="15" t="n"/>
      <c r="D12" s="11" t="n"/>
      <c r="E12" s="15">
        <f>IF(C12="","",B12*C12)</f>
        <v/>
      </c>
    </row>
    <row r="13">
      <c r="A13" s="11" t="n"/>
      <c r="B13" s="11" t="n">
        <v>1</v>
      </c>
      <c r="C13" s="15" t="n"/>
      <c r="D13" s="11" t="n"/>
      <c r="E13" s="15">
        <f>IF(C13="","",B13*C13)</f>
        <v/>
      </c>
    </row>
    <row r="14">
      <c r="A14" s="11" t="n"/>
      <c r="B14" s="11" t="n">
        <v>1</v>
      </c>
      <c r="C14" s="15" t="n"/>
      <c r="D14" s="11" t="n"/>
      <c r="E14" s="15">
        <f>IF(C14="","",B14*C14)</f>
        <v/>
      </c>
    </row>
    <row r="15">
      <c r="A15" s="11" t="n"/>
      <c r="B15" s="11" t="n">
        <v>1</v>
      </c>
      <c r="C15" s="15" t="n"/>
      <c r="D15" s="11" t="n"/>
      <c r="E15" s="15">
        <f>IF(C15="","",B15*C15)</f>
        <v/>
      </c>
    </row>
    <row r="16">
      <c r="A16" s="11" t="n"/>
      <c r="B16" s="11" t="n">
        <v>1</v>
      </c>
      <c r="C16" s="15" t="n"/>
      <c r="D16" s="11" t="n"/>
      <c r="E16" s="15">
        <f>IF(C16="","",B16*C16)</f>
        <v/>
      </c>
    </row>
    <row r="17">
      <c r="A17" s="11" t="n"/>
      <c r="B17" s="11" t="n">
        <v>1</v>
      </c>
      <c r="C17" s="15" t="n"/>
      <c r="D17" s="11" t="n"/>
      <c r="E17" s="15">
        <f>IF(C17="","",B17*C17)</f>
        <v/>
      </c>
    </row>
    <row r="19">
      <c r="D19" s="3" t="inlineStr">
        <is>
          <t>TOTAL</t>
        </is>
      </c>
      <c r="E19" s="16">
        <f>SUM(E11:E17)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 ht="38" customHeight="1">
      <c r="A1" s="1" t="inlineStr">
        <is>
          <t>📊  Tax Summary (Schedule C)</t>
        </is>
      </c>
    </row>
    <row r="2" ht="22" customHeight="1">
      <c r="A2" s="2" t="inlineStr">
        <is>
          <t>Hand this to your accountant. Organizer — not tax advice.</t>
        </is>
      </c>
    </row>
    <row r="4">
      <c r="A4" s="7" t="inlineStr">
        <is>
          <t>Line item</t>
        </is>
      </c>
      <c r="B4" s="7" t="inlineStr">
        <is>
          <t>Schedule C</t>
        </is>
      </c>
      <c r="C4" s="7" t="inlineStr">
        <is>
          <t>Amount</t>
        </is>
      </c>
    </row>
    <row r="5">
      <c r="A5" s="11" t="inlineStr">
        <is>
          <t>Gross income (fees paid)</t>
        </is>
      </c>
      <c r="B5" s="10" t="inlineStr">
        <is>
          <t>Part I, Line 1</t>
        </is>
      </c>
      <c r="C5" s="15">
        <f>SUMIF('Signing Log'!H5:H304,"Paid",'Signing Log'!G5:G304)</f>
        <v/>
      </c>
    </row>
    <row r="6">
      <c r="A6" s="11" t="inlineStr">
        <is>
          <t>Car / mileage deduction</t>
        </is>
      </c>
      <c r="B6" s="10" t="inlineStr">
        <is>
          <t>Line 9</t>
        </is>
      </c>
      <c r="C6" s="15">
        <f>SUM('Mileage Log'!F5:F254)</f>
        <v/>
      </c>
    </row>
    <row r="7">
      <c r="A7" s="11" t="inlineStr">
        <is>
          <t>Supplies</t>
        </is>
      </c>
      <c r="B7" s="10" t="inlineStr">
        <is>
          <t>Line 22</t>
        </is>
      </c>
      <c r="C7" s="15">
        <f>SUMIFS(Expenses!D5:D204,Expenses!B5:B204,"Supplies")</f>
        <v/>
      </c>
    </row>
    <row r="8">
      <c r="A8" s="11" t="inlineStr">
        <is>
          <t>Insurance (E&amp;O)</t>
        </is>
      </c>
      <c r="B8" s="10" t="inlineStr">
        <is>
          <t>Line 15</t>
        </is>
      </c>
      <c r="C8" s="15">
        <f>SUMIFS(Expenses!D5:D204,Expenses!B5:B204,"E&amp;O Insurance")</f>
        <v/>
      </c>
    </row>
    <row r="9">
      <c r="A9" s="11" t="inlineStr">
        <is>
          <t>Training / education</t>
        </is>
      </c>
      <c r="B9" s="10" t="inlineStr">
        <is>
          <t>Line 27a</t>
        </is>
      </c>
      <c r="C9" s="15">
        <f>SUMIFS(Expenses!D5:D204,Expenses!B5:B204,"Training/Education")</f>
        <v/>
      </c>
    </row>
    <row r="10">
      <c r="A10" s="11" t="inlineStr">
        <is>
          <t>Phone / internet</t>
        </is>
      </c>
      <c r="B10" s="10" t="inlineStr">
        <is>
          <t>Line 25</t>
        </is>
      </c>
      <c r="C10" s="15">
        <f>SUMIFS(Expenses!D5:D204,Expenses!B5:B204,"Phone/Internet")</f>
        <v/>
      </c>
    </row>
    <row r="11">
      <c r="A11" s="11" t="inlineStr">
        <is>
          <t>Dues / membership (NNA)</t>
        </is>
      </c>
      <c r="B11" s="10" t="inlineStr">
        <is>
          <t>Line 27a</t>
        </is>
      </c>
      <c r="C11" s="15">
        <f>SUMIFS(Expenses!D5:D204,Expenses!B5:B204,"NNA Membership")</f>
        <v/>
      </c>
    </row>
    <row r="12">
      <c r="A12" s="11" t="inlineStr">
        <is>
          <t>Software</t>
        </is>
      </c>
      <c r="B12" s="10" t="inlineStr">
        <is>
          <t>Line 27a</t>
        </is>
      </c>
      <c r="C12" s="15">
        <f>SUMIFS(Expenses!D5:D204,Expenses!B5:B204,"Software")</f>
        <v/>
      </c>
    </row>
    <row r="13">
      <c r="A13" s="11" t="inlineStr">
        <is>
          <t>Marketing / advertising</t>
        </is>
      </c>
      <c r="B13" s="10" t="inlineStr">
        <is>
          <t>Line 8</t>
        </is>
      </c>
      <c r="C13" s="15">
        <f>SUMIFS(Expenses!D5:D204,Expenses!B5:B204,"Marketing")</f>
        <v/>
      </c>
    </row>
    <row r="14">
      <c r="A14" s="11" t="inlineStr">
        <is>
          <t>Printing</t>
        </is>
      </c>
      <c r="B14" s="10" t="inlineStr">
        <is>
          <t>Line 22</t>
        </is>
      </c>
      <c r="C14" s="15">
        <f>SUMIFS(Expenses!D5:D204,Expenses!B5:B204,"Printing")</f>
        <v/>
      </c>
    </row>
    <row r="16">
      <c r="A16" s="3" t="inlineStr">
        <is>
          <t>Total expenses</t>
        </is>
      </c>
      <c r="C16" s="17">
        <f>SUM(C6:C14)</f>
        <v/>
      </c>
    </row>
    <row r="17">
      <c r="A17" s="18" t="inlineStr">
        <is>
          <t>NET PROFIT (est.)</t>
        </is>
      </c>
      <c r="C17" s="16">
        <f>C5-C16</f>
        <v/>
      </c>
    </row>
    <row r="19">
      <c r="A19" s="5" t="inlineStr">
        <is>
          <t>⚠️ This is an organizer, not tax advice. Confirm figures with a tax professional.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</cols>
  <sheetData>
    <row r="1" ht="38" customHeight="1">
      <c r="A1" s="1" t="inlineStr">
        <is>
          <t>📈  Dashboard</t>
        </is>
      </c>
    </row>
    <row r="2" ht="22" customHeight="1">
      <c r="A2" s="2" t="inlineStr">
        <is>
          <t>Your business at a glance.</t>
        </is>
      </c>
    </row>
    <row r="4">
      <c r="B4" s="19" t="inlineStr">
        <is>
          <t>Total fees paid</t>
        </is>
      </c>
      <c r="D4" s="19" t="inlineStr">
        <is>
          <t>Outstanding (unpaid)</t>
        </is>
      </c>
      <c r="F4" s="19" t="inlineStr">
        <is>
          <t>Net profit (YTD)</t>
        </is>
      </c>
    </row>
    <row r="5" ht="30" customHeight="1">
      <c r="B5" s="20">
        <f>SUMIF('Signing Log'!H5:H304,"Paid",'Signing Log'!G5:G304)</f>
        <v/>
      </c>
      <c r="D5" s="20">
        <f>SUMIF('Signing Log'!H5:H304,"Invoiced",'Signing Log'!F5:F304)</f>
        <v/>
      </c>
      <c r="F5" s="20">
        <f>SUM('Signing Log'!L5:L304)</f>
        <v/>
      </c>
    </row>
    <row r="7">
      <c r="B7" s="19" t="inlineStr">
        <is>
          <t>Signings completed</t>
        </is>
      </c>
      <c r="D7" s="19" t="inlineStr">
        <is>
          <t>Total miles (YTD)</t>
        </is>
      </c>
      <c r="F7" s="19" t="inlineStr">
        <is>
          <t>Mileage deduction</t>
        </is>
      </c>
    </row>
    <row r="8" ht="30" customHeight="1">
      <c r="B8" s="21">
        <f>COUNTIF('Signing Log'!H5:H304,"Paid")+COUNTIF('Signing Log'!H5:H304,"Invoiced")+COUNTIF('Signing Log'!H5:H304,"Completed")</f>
        <v/>
      </c>
      <c r="D8" s="21">
        <f>SUM('Mileage Log'!E5:E254)</f>
        <v/>
      </c>
      <c r="F8" s="20">
        <f>SUM('Mileage Log'!F5:F254)</f>
        <v/>
      </c>
    </row>
    <row r="11">
      <c r="B11" s="3" t="inlineStr">
        <is>
          <t>Annual income goal</t>
        </is>
      </c>
      <c r="D11" s="22" t="n">
        <v>40000</v>
      </c>
    </row>
    <row r="12">
      <c r="B12" s="3" t="inlineStr">
        <is>
          <t>Progress to goal</t>
        </is>
      </c>
      <c r="D12" s="23">
        <f>IF(D11=0,0,SUM('Signing Log'!L5:L304)/D11)</f>
        <v/>
      </c>
    </row>
    <row r="15">
      <c r="B15" s="3" t="inlineStr">
        <is>
          <t>Net profit by appointment type</t>
        </is>
      </c>
    </row>
    <row r="16">
      <c r="A16" s="7" t="inlineStr">
        <is>
          <t>Appt type</t>
        </is>
      </c>
      <c r="B16" s="7" t="inlineStr">
        <is>
          <t>Net profit</t>
        </is>
      </c>
    </row>
    <row r="17">
      <c r="A17" s="11" t="inlineStr">
        <is>
          <t>Refi</t>
        </is>
      </c>
      <c r="B17" s="15">
        <f>SUMIF('Signing Log'!E5:E304,A17,'Signing Log'!L5:L304)</f>
        <v/>
      </c>
    </row>
    <row r="18">
      <c r="A18" s="11" t="inlineStr">
        <is>
          <t>Purchase</t>
        </is>
      </c>
      <c r="B18" s="15">
        <f>SUMIF('Signing Log'!E5:E304,A18,'Signing Log'!L5:L304)</f>
        <v/>
      </c>
    </row>
    <row r="19">
      <c r="A19" s="11" t="inlineStr">
        <is>
          <t>Seller</t>
        </is>
      </c>
      <c r="B19" s="15">
        <f>SUMIF('Signing Log'!E5:E304,A19,'Signing Log'!L5:L304)</f>
        <v/>
      </c>
    </row>
    <row r="20">
      <c r="A20" s="11" t="inlineStr">
        <is>
          <t>HELOC</t>
        </is>
      </c>
      <c r="B20" s="15">
        <f>SUMIF('Signing Log'!E5:E304,A20,'Signing Log'!L5:L304)</f>
        <v/>
      </c>
    </row>
    <row r="21">
      <c r="A21" s="11" t="inlineStr">
        <is>
          <t>Apostille</t>
        </is>
      </c>
      <c r="B21" s="15">
        <f>SUMIF('Signing Log'!E5:E304,A21,'Signing Log'!L5:L304)</f>
        <v/>
      </c>
    </row>
    <row r="22">
      <c r="A22" s="11" t="inlineStr">
        <is>
          <t>RON</t>
        </is>
      </c>
      <c r="B22" s="15">
        <f>SUMIF('Signing Log'!E5:E304,A22,'Signing Log'!L5:L304)</f>
        <v/>
      </c>
    </row>
    <row r="23">
      <c r="A23" s="11" t="inlineStr">
        <is>
          <t>General Notary</t>
        </is>
      </c>
      <c r="B23" s="15">
        <f>SUMIF('Signing Log'!E5:E304,A23,'Signing Log'!L5:L304)</f>
        <v/>
      </c>
    </row>
    <row r="26">
      <c r="B26" s="3" t="inlineStr">
        <is>
          <t>Cash status</t>
        </is>
      </c>
    </row>
    <row r="27">
      <c r="A27" s="7" t="inlineStr">
        <is>
          <t>Bucket</t>
        </is>
      </c>
      <c r="B27" s="7" t="inlineStr">
        <is>
          <t>Amount</t>
        </is>
      </c>
    </row>
    <row r="28">
      <c r="A28" s="11" t="inlineStr">
        <is>
          <t>Paid</t>
        </is>
      </c>
      <c r="B28" s="15">
        <f>SUMIF('Signing Log'!H5:H304,"Paid",'Signing Log'!G5:G304)</f>
        <v/>
      </c>
    </row>
    <row r="29">
      <c r="A29" s="11" t="inlineStr">
        <is>
          <t>Outstanding</t>
        </is>
      </c>
      <c r="B29" s="15">
        <f>SUMIF('Signing Log'!H5:H304,"Invoiced",'Signing Log'!F5:F304)</f>
        <v/>
      </c>
    </row>
  </sheetData>
  <mergeCells count="14">
    <mergeCell ref="D8:E8"/>
    <mergeCell ref="F4:G4"/>
    <mergeCell ref="D7:E7"/>
    <mergeCell ref="B7:C7"/>
    <mergeCell ref="B5:C5"/>
    <mergeCell ref="A2:H2"/>
    <mergeCell ref="F5:G5"/>
    <mergeCell ref="D5:E5"/>
    <mergeCell ref="D4:E4"/>
    <mergeCell ref="A1:H1"/>
    <mergeCell ref="B8:C8"/>
    <mergeCell ref="B4:C4"/>
    <mergeCell ref="F7:G7"/>
    <mergeCell ref="F8:G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2026-06-08T00:22:26Z</dcterms:created>
  <dcterms:modified xsi:type="dcterms:W3CDTF">2026-06-08T00:22:27Z</dcterms:modified>
</cp:coreProperties>
</file>